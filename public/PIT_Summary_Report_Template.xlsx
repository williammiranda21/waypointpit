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166925"/>
  <mc:AlternateContent xmlns:mc="http://schemas.openxmlformats.org/markup-compatibility/2006">
    <mc:Choice Requires="x15">
      <x15ac:absPath xmlns:x15ac="http://schemas.microsoft.com/office/spreadsheetml/2010/11/ac" url="https://abtassoc.sharepoint.com/sites/29166AHARHDX20Collaborat/Shared Documents/HIC and PIT/canned_reports/authoritative_summary_report_templates_for_SPM_HIC_and_PIT/"/>
    </mc:Choice>
  </mc:AlternateContent>
  <xr:revisionPtr revIDLastSave="319" documentId="8_{39C77D4F-D33B-431A-A03A-CF48B96661F6}" xr6:coauthVersionLast="47" xr6:coauthVersionMax="47" xr10:uidLastSave="{8433594C-6ABA-49B7-9130-8AF86FDC2BA3}"/>
  <bookViews>
    <workbookView xWindow="28680" yWindow="-3435" windowWidth="29040" windowHeight="15840" xr2:uid="{75118982-00CA-465C-86F6-7C9104FDD3A4}"/>
  </bookViews>
  <sheets>
    <sheet name="README" sheetId="50" r:id="rId1"/>
    <sheet name="PitRawData" sheetId="53" r:id="rId2"/>
    <sheet name="All_AC" sheetId="13" r:id="rId3"/>
    <sheet name="All_CO" sheetId="40" r:id="rId4"/>
    <sheet name="All_AO" sheetId="41" r:id="rId5"/>
    <sheet name="All_TOTALS" sheetId="44" r:id="rId6"/>
    <sheet name="Youth_UY" sheetId="46" r:id="rId7"/>
    <sheet name="Youth_PY" sheetId="47" r:id="rId8"/>
    <sheet name="Vets_AC" sheetId="43" r:id="rId9"/>
    <sheet name="Vets_AO" sheetId="42" r:id="rId10"/>
    <sheet name="Vets_TOTALS" sheetId="45" r:id="rId11"/>
    <sheet name="Additional_Homeless_Populations" sheetId="48" r:id="rId12"/>
    <sheet name="DO_NOT_EDIT" sheetId="52" state="hidden" r:id="rId13"/>
  </sheets>
  <definedNames>
    <definedName name="_xlnm._FilterDatabase" localSheetId="11" hidden="1">Additional_Homeless_Populations!$A$8:$G$8</definedName>
    <definedName name="_xlnm._FilterDatabase" localSheetId="2" hidden="1">All_AC!$A$8:$F$8</definedName>
    <definedName name="_xlnm._FilterDatabase" localSheetId="4" hidden="1">All_AO!$A$8:$G$8</definedName>
    <definedName name="_xlnm._FilterDatabase" localSheetId="3" hidden="1">All_CO!$A$8:$G$8</definedName>
    <definedName name="_xlnm._FilterDatabase" localSheetId="5" hidden="1">All_TOTALS!$A$8:$G$8</definedName>
    <definedName name="_xlnm._FilterDatabase" localSheetId="12" hidden="1">DO_NOT_EDIT!$A$21:$E$671</definedName>
    <definedName name="_xlnm._FilterDatabase" localSheetId="8" hidden="1">Vets_AC!$A$8:$F$8</definedName>
    <definedName name="_xlnm._FilterDatabase" localSheetId="9" hidden="1">Vets_AO!$A$8:$G$8</definedName>
    <definedName name="_xlnm._FilterDatabase" localSheetId="10" hidden="1">Vets_TOTALS!$A$8:$G$8</definedName>
    <definedName name="_xlnm._FilterDatabase" localSheetId="7" hidden="1">Youth_PY!$A$8:$F$8</definedName>
    <definedName name="_xlnm._FilterDatabase" localSheetId="6" hidden="1">Youth_UY!$A$8:$G$8</definedName>
    <definedName name="all_ref_fields_have_text">DO_NOT_EDIT!$B$8</definedName>
    <definedName name="All_ref_fields_not_errors">DO_NOT_EDIT!$B$7</definedName>
    <definedName name="CoC">DO_NOT_EDIT!$B$2</definedName>
    <definedName name="Date_of_Count">DO_NOT_EDIT!$B$4</definedName>
    <definedName name="HeadingLine2">DO_NOT_EDIT!$D$2</definedName>
    <definedName name="HeadingLine3">DO_NOT_EDIT!$D$3</definedName>
    <definedName name="HeadingLine4">DO_NOT_EDIT!$D$4</definedName>
    <definedName name="HudNum">DO_NOT_EDIT!$B$1</definedName>
    <definedName name="PIT_Count_Type">DO_NOT_EDIT!$B$5</definedName>
    <definedName name="_xlnm.Print_Area" localSheetId="11">Additional_Homeless_Populations!$A$1:$F$14</definedName>
    <definedName name="_xlnm.Print_Area" localSheetId="2">All_AC!$A$1:$E$42</definedName>
    <definedName name="_xlnm.Print_Area" localSheetId="4">All_AO!$A$1:$F$40</definedName>
    <definedName name="_xlnm.Print_Area" localSheetId="3">All_CO!$A$1:$F$34</definedName>
    <definedName name="_xlnm.Print_Area" localSheetId="5">All_TOTALS!$A$1:$F$41</definedName>
    <definedName name="_xlnm.Print_Area" localSheetId="1">PitRawData!$AML$1</definedName>
    <definedName name="_xlnm.Print_Area" localSheetId="0">README!$A$1:$E$32</definedName>
    <definedName name="_xlnm.Print_Area" localSheetId="8">Vets_AC!$A$1:$E$36</definedName>
    <definedName name="_xlnm.Print_Area" localSheetId="9">Vets_AO!$A$1:$F$35</definedName>
    <definedName name="_xlnm.Print_Area" localSheetId="10">Vets_TOTALS!$A$1:$F$35</definedName>
    <definedName name="_xlnm.Print_Area" localSheetId="7">Youth_PY!$A$1:$E$41</definedName>
    <definedName name="_xlnm.Print_Area" localSheetId="6">Youth_UY!$A$1:$F$36</definedName>
    <definedName name="_xlnm.Print_Titles" localSheetId="11">Additional_Homeless_Populations!$1:$6</definedName>
    <definedName name="_xlnm.Print_Titles" localSheetId="2">All_AC!$1:$6</definedName>
    <definedName name="_xlnm.Print_Titles" localSheetId="4">All_AO!$1:$6</definedName>
    <definedName name="_xlnm.Print_Titles" localSheetId="3">All_CO!$1:$6</definedName>
    <definedName name="_xlnm.Print_Titles" localSheetId="5">All_TOTALS!$1:$6</definedName>
    <definedName name="_xlnm.Print_Titles" localSheetId="8">Vets_AC!$1:$6</definedName>
    <definedName name="_xlnm.Print_Titles" localSheetId="9">Vets_AO!$1:$6</definedName>
    <definedName name="_xlnm.Print_Titles" localSheetId="10">Vets_TOTALS!$1:$6</definedName>
    <definedName name="_xlnm.Print_Titles" localSheetId="7">Youth_PY!$1:$6</definedName>
    <definedName name="_xlnm.Print_Titles" localSheetId="6">Youth_UY!$1:$6</definedName>
    <definedName name="show_heading_section">DO_NOT_EDIT!$B$9</definedName>
    <definedName name="year">DO_NOT_EDIT!$B$3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52" l="1"/>
  <c r="D24" i="52"/>
  <c r="D25" i="52"/>
  <c r="D26" i="52"/>
  <c r="D27" i="52"/>
  <c r="D28" i="52"/>
  <c r="D29" i="52"/>
  <c r="D30" i="52"/>
  <c r="D31" i="52"/>
  <c r="D32" i="52"/>
  <c r="D33" i="52"/>
  <c r="D34" i="52"/>
  <c r="D35" i="52"/>
  <c r="D36" i="52"/>
  <c r="D37" i="52"/>
  <c r="D38" i="52"/>
  <c r="D39" i="52"/>
  <c r="D40" i="52"/>
  <c r="D41" i="52"/>
  <c r="D42" i="52"/>
  <c r="D43" i="52"/>
  <c r="D44" i="52"/>
  <c r="D45" i="52"/>
  <c r="D46" i="52"/>
  <c r="D47" i="52"/>
  <c r="D48" i="52"/>
  <c r="D49" i="52"/>
  <c r="D50" i="52"/>
  <c r="D51" i="52"/>
  <c r="D52" i="52"/>
  <c r="D53" i="52"/>
  <c r="D54" i="52"/>
  <c r="D55" i="52"/>
  <c r="D56" i="52"/>
  <c r="D57" i="52"/>
  <c r="D58" i="52"/>
  <c r="D59" i="52"/>
  <c r="D60" i="52"/>
  <c r="D61" i="52"/>
  <c r="D62" i="52"/>
  <c r="D63" i="52"/>
  <c r="D64" i="52"/>
  <c r="D65" i="52"/>
  <c r="D66" i="52"/>
  <c r="D67" i="52"/>
  <c r="D68" i="52"/>
  <c r="D69" i="52"/>
  <c r="D70" i="52"/>
  <c r="D71" i="52"/>
  <c r="D72" i="52"/>
  <c r="D73" i="52"/>
  <c r="D74" i="52"/>
  <c r="D75" i="52"/>
  <c r="D76" i="52"/>
  <c r="D77" i="52"/>
  <c r="D78" i="52"/>
  <c r="D79" i="52"/>
  <c r="D80" i="52"/>
  <c r="D81" i="52"/>
  <c r="D82" i="52"/>
  <c r="D83" i="52"/>
  <c r="D84" i="52"/>
  <c r="D85" i="52"/>
  <c r="D86" i="52"/>
  <c r="D87" i="52"/>
  <c r="D88" i="52"/>
  <c r="D89" i="52"/>
  <c r="D90" i="52"/>
  <c r="D91" i="52"/>
  <c r="D92" i="52"/>
  <c r="D93" i="52"/>
  <c r="D94" i="52"/>
  <c r="D95" i="52"/>
  <c r="D96" i="52"/>
  <c r="D97" i="52"/>
  <c r="D98" i="52"/>
  <c r="D99" i="52"/>
  <c r="D100" i="52"/>
  <c r="D101" i="52"/>
  <c r="D102" i="52"/>
  <c r="D103" i="52"/>
  <c r="D104" i="52"/>
  <c r="D105" i="52"/>
  <c r="D106" i="52"/>
  <c r="D107" i="52"/>
  <c r="D108" i="52"/>
  <c r="D109" i="52"/>
  <c r="D110" i="52"/>
  <c r="D111" i="52"/>
  <c r="D112" i="52"/>
  <c r="D113" i="52"/>
  <c r="D114" i="52"/>
  <c r="D115" i="52"/>
  <c r="D116" i="52"/>
  <c r="D117" i="52"/>
  <c r="D118" i="52"/>
  <c r="D119" i="52"/>
  <c r="D120" i="52"/>
  <c r="D121" i="52"/>
  <c r="D122" i="52"/>
  <c r="D123" i="52"/>
  <c r="D124" i="52"/>
  <c r="D125" i="52"/>
  <c r="D126" i="52"/>
  <c r="D127" i="52"/>
  <c r="D128" i="52"/>
  <c r="D129" i="52"/>
  <c r="D130" i="52"/>
  <c r="D131" i="52"/>
  <c r="D132" i="52"/>
  <c r="D133" i="52"/>
  <c r="D134" i="52"/>
  <c r="D135" i="52"/>
  <c r="D136" i="52"/>
  <c r="D137" i="52"/>
  <c r="D138" i="52"/>
  <c r="D139" i="52"/>
  <c r="D140" i="52"/>
  <c r="D141" i="52"/>
  <c r="D142" i="52"/>
  <c r="D143" i="52"/>
  <c r="D144" i="52"/>
  <c r="D145" i="52"/>
  <c r="D146" i="52"/>
  <c r="D147" i="52"/>
  <c r="D148" i="52"/>
  <c r="D149" i="52"/>
  <c r="D150" i="52"/>
  <c r="D151" i="52"/>
  <c r="D152" i="52"/>
  <c r="D153" i="52"/>
  <c r="D154" i="52"/>
  <c r="D155" i="52"/>
  <c r="D156" i="52"/>
  <c r="D157" i="52"/>
  <c r="D158" i="52"/>
  <c r="D159" i="52"/>
  <c r="D160" i="52"/>
  <c r="D161" i="52"/>
  <c r="D162" i="52"/>
  <c r="D163" i="52"/>
  <c r="D164" i="52"/>
  <c r="D165" i="52"/>
  <c r="D166" i="52"/>
  <c r="D167" i="52"/>
  <c r="D168" i="52"/>
  <c r="D169" i="52"/>
  <c r="D170" i="52"/>
  <c r="D171" i="52"/>
  <c r="D172" i="52"/>
  <c r="D173" i="52"/>
  <c r="D174" i="52"/>
  <c r="D175" i="52"/>
  <c r="D176" i="52"/>
  <c r="D177" i="52"/>
  <c r="D178" i="52"/>
  <c r="D179" i="52"/>
  <c r="D180" i="52"/>
  <c r="D181" i="52"/>
  <c r="D182" i="52"/>
  <c r="D183" i="52"/>
  <c r="D184" i="52"/>
  <c r="D185" i="52"/>
  <c r="D186" i="52"/>
  <c r="D187" i="52"/>
  <c r="D188" i="52"/>
  <c r="D189" i="52"/>
  <c r="D190" i="52"/>
  <c r="D191" i="52"/>
  <c r="D192" i="52"/>
  <c r="D193" i="52"/>
  <c r="D194" i="52"/>
  <c r="D195" i="52"/>
  <c r="D196" i="52"/>
  <c r="D197" i="52"/>
  <c r="D198" i="52"/>
  <c r="D199" i="52"/>
  <c r="D200" i="52"/>
  <c r="D201" i="52"/>
  <c r="D202" i="52"/>
  <c r="D203" i="52"/>
  <c r="D204" i="52"/>
  <c r="D205" i="52"/>
  <c r="D206" i="52"/>
  <c r="D207" i="52"/>
  <c r="D208" i="52"/>
  <c r="D209" i="52"/>
  <c r="D210" i="52"/>
  <c r="D211" i="52"/>
  <c r="D212" i="52"/>
  <c r="D213" i="52"/>
  <c r="D214" i="52"/>
  <c r="D215" i="52"/>
  <c r="D216" i="52"/>
  <c r="D217" i="52"/>
  <c r="D218" i="52"/>
  <c r="D219" i="52"/>
  <c r="D220" i="52"/>
  <c r="D221" i="52"/>
  <c r="D222" i="52"/>
  <c r="D223" i="52"/>
  <c r="D224" i="52"/>
  <c r="D225" i="52"/>
  <c r="D226" i="52"/>
  <c r="D227" i="52"/>
  <c r="D228" i="52"/>
  <c r="D229" i="52"/>
  <c r="D230" i="52"/>
  <c r="D231" i="52"/>
  <c r="D232" i="52"/>
  <c r="D233" i="52"/>
  <c r="D234" i="52"/>
  <c r="D235" i="52"/>
  <c r="D236" i="52"/>
  <c r="D237" i="52"/>
  <c r="D238" i="52"/>
  <c r="D239" i="52"/>
  <c r="D240" i="52"/>
  <c r="D241" i="52"/>
  <c r="D242" i="52"/>
  <c r="D243" i="52"/>
  <c r="D244" i="52"/>
  <c r="D245" i="52"/>
  <c r="D246" i="52"/>
  <c r="D247" i="52"/>
  <c r="D248" i="52"/>
  <c r="D249" i="52"/>
  <c r="D250" i="52"/>
  <c r="D251" i="52"/>
  <c r="D252" i="52"/>
  <c r="D253" i="52"/>
  <c r="D254" i="52"/>
  <c r="D255" i="52"/>
  <c r="D256" i="52"/>
  <c r="D257" i="52"/>
  <c r="D258" i="52"/>
  <c r="D259" i="52"/>
  <c r="D260" i="52"/>
  <c r="D261" i="52"/>
  <c r="D262" i="52"/>
  <c r="D263" i="52"/>
  <c r="D264" i="52"/>
  <c r="D265" i="52"/>
  <c r="D266" i="52"/>
  <c r="D267" i="52"/>
  <c r="D268" i="52"/>
  <c r="D269" i="52"/>
  <c r="D270" i="52"/>
  <c r="D271" i="52"/>
  <c r="D272" i="52"/>
  <c r="D273" i="52"/>
  <c r="D274" i="52"/>
  <c r="D275" i="52"/>
  <c r="D276" i="52"/>
  <c r="D277" i="52"/>
  <c r="D278" i="52"/>
  <c r="D279" i="52"/>
  <c r="D280" i="52"/>
  <c r="D281" i="52"/>
  <c r="D282" i="52"/>
  <c r="D283" i="52"/>
  <c r="D284" i="52"/>
  <c r="D285" i="52"/>
  <c r="D286" i="52"/>
  <c r="D287" i="52"/>
  <c r="D288" i="52"/>
  <c r="D289" i="52"/>
  <c r="D290" i="52"/>
  <c r="D291" i="52"/>
  <c r="D292" i="52"/>
  <c r="D293" i="52"/>
  <c r="D294" i="52"/>
  <c r="D295" i="52"/>
  <c r="D296" i="52"/>
  <c r="D297" i="52"/>
  <c r="D298" i="52"/>
  <c r="D299" i="52"/>
  <c r="D300" i="52"/>
  <c r="D301" i="52"/>
  <c r="D302" i="52"/>
  <c r="D303" i="52"/>
  <c r="D304" i="52"/>
  <c r="D305" i="52"/>
  <c r="D306" i="52"/>
  <c r="D307" i="52"/>
  <c r="D308" i="52"/>
  <c r="D309" i="52"/>
  <c r="D310" i="52"/>
  <c r="D311" i="52"/>
  <c r="D312" i="52"/>
  <c r="D313" i="52"/>
  <c r="D314" i="52"/>
  <c r="D315" i="52"/>
  <c r="D316" i="52"/>
  <c r="D317" i="52"/>
  <c r="D318" i="52"/>
  <c r="D319" i="52"/>
  <c r="D320" i="52"/>
  <c r="D321" i="52"/>
  <c r="D322" i="52"/>
  <c r="D323" i="52"/>
  <c r="D324" i="52"/>
  <c r="D325" i="52"/>
  <c r="D326" i="52"/>
  <c r="D327" i="52"/>
  <c r="D328" i="52"/>
  <c r="D329" i="52"/>
  <c r="D330" i="52"/>
  <c r="D331" i="52"/>
  <c r="D332" i="52"/>
  <c r="D333" i="52"/>
  <c r="D334" i="52"/>
  <c r="D335" i="52"/>
  <c r="D336" i="52"/>
  <c r="D337" i="52"/>
  <c r="D338" i="52"/>
  <c r="D339" i="52"/>
  <c r="D340" i="52"/>
  <c r="D341" i="52"/>
  <c r="D342" i="52"/>
  <c r="D343" i="52"/>
  <c r="D344" i="52"/>
  <c r="D345" i="52"/>
  <c r="D346" i="52"/>
  <c r="D347" i="52"/>
  <c r="D348" i="52"/>
  <c r="D349" i="52"/>
  <c r="D350" i="52"/>
  <c r="D351" i="52"/>
  <c r="D352" i="52"/>
  <c r="D353" i="52"/>
  <c r="D354" i="52"/>
  <c r="D355" i="52"/>
  <c r="D356" i="52"/>
  <c r="D357" i="52"/>
  <c r="D358" i="52"/>
  <c r="D359" i="52"/>
  <c r="D360" i="52"/>
  <c r="D361" i="52"/>
  <c r="D362" i="52"/>
  <c r="D363" i="52"/>
  <c r="D364" i="52"/>
  <c r="D365" i="52"/>
  <c r="D366" i="52"/>
  <c r="D367" i="52"/>
  <c r="D368" i="52"/>
  <c r="D369" i="52"/>
  <c r="D370" i="52"/>
  <c r="D371" i="52"/>
  <c r="D372" i="52"/>
  <c r="D373" i="52"/>
  <c r="D374" i="52"/>
  <c r="D375" i="52"/>
  <c r="D376" i="52"/>
  <c r="D377" i="52"/>
  <c r="D378" i="52"/>
  <c r="D379" i="52"/>
  <c r="D380" i="52"/>
  <c r="D381" i="52"/>
  <c r="D382" i="52"/>
  <c r="D383" i="52"/>
  <c r="D384" i="52"/>
  <c r="D385" i="52"/>
  <c r="D386" i="52"/>
  <c r="D387" i="52"/>
  <c r="D388" i="52"/>
  <c r="D389" i="52"/>
  <c r="D390" i="52"/>
  <c r="D391" i="52"/>
  <c r="D392" i="52"/>
  <c r="D393" i="52"/>
  <c r="D394" i="52"/>
  <c r="D395" i="52"/>
  <c r="D396" i="52"/>
  <c r="D397" i="52"/>
  <c r="D398" i="52"/>
  <c r="D399" i="52"/>
  <c r="D400" i="52"/>
  <c r="D401" i="52"/>
  <c r="D402" i="52"/>
  <c r="D403" i="52"/>
  <c r="D404" i="52"/>
  <c r="D405" i="52"/>
  <c r="D406" i="52"/>
  <c r="D407" i="52"/>
  <c r="D408" i="52"/>
  <c r="D409" i="52"/>
  <c r="D410" i="52"/>
  <c r="D411" i="52"/>
  <c r="D412" i="52"/>
  <c r="D413" i="52"/>
  <c r="D414" i="52"/>
  <c r="D415" i="52"/>
  <c r="D416" i="52"/>
  <c r="D417" i="52"/>
  <c r="D418" i="52"/>
  <c r="D419" i="52"/>
  <c r="D420" i="52"/>
  <c r="D421" i="52"/>
  <c r="D422" i="52"/>
  <c r="D423" i="52"/>
  <c r="D424" i="52"/>
  <c r="D425" i="52"/>
  <c r="D426" i="52"/>
  <c r="D427" i="52"/>
  <c r="D428" i="52"/>
  <c r="D429" i="52"/>
  <c r="D430" i="52"/>
  <c r="D431" i="52"/>
  <c r="D432" i="52"/>
  <c r="D433" i="52"/>
  <c r="D434" i="52"/>
  <c r="D435" i="52"/>
  <c r="D436" i="52"/>
  <c r="D437" i="52"/>
  <c r="D438" i="52"/>
  <c r="D439" i="52"/>
  <c r="D440" i="52"/>
  <c r="D441" i="52"/>
  <c r="D442" i="52"/>
  <c r="D443" i="52"/>
  <c r="D444" i="52"/>
  <c r="D445" i="52"/>
  <c r="D446" i="52"/>
  <c r="D447" i="52"/>
  <c r="D448" i="52"/>
  <c r="D449" i="52"/>
  <c r="D450" i="52"/>
  <c r="D451" i="52"/>
  <c r="D452" i="52"/>
  <c r="D453" i="52"/>
  <c r="D454" i="52"/>
  <c r="D455" i="52"/>
  <c r="D456" i="52"/>
  <c r="D457" i="52"/>
  <c r="D458" i="52"/>
  <c r="D459" i="52"/>
  <c r="D460" i="52"/>
  <c r="D461" i="52"/>
  <c r="D462" i="52"/>
  <c r="D463" i="52"/>
  <c r="D464" i="52"/>
  <c r="D465" i="52"/>
  <c r="D466" i="52"/>
  <c r="D467" i="52"/>
  <c r="D468" i="52"/>
  <c r="D469" i="52"/>
  <c r="D470" i="52"/>
  <c r="D471" i="52"/>
  <c r="D472" i="52"/>
  <c r="D473" i="52"/>
  <c r="D474" i="52"/>
  <c r="D475" i="52"/>
  <c r="D476" i="52"/>
  <c r="D477" i="52"/>
  <c r="D478" i="52"/>
  <c r="D479" i="52"/>
  <c r="D480" i="52"/>
  <c r="D481" i="52"/>
  <c r="D482" i="52"/>
  <c r="D483" i="52"/>
  <c r="D484" i="52"/>
  <c r="D485" i="52"/>
  <c r="D486" i="52"/>
  <c r="D487" i="52"/>
  <c r="D488" i="52"/>
  <c r="D489" i="52"/>
  <c r="D490" i="52"/>
  <c r="D491" i="52"/>
  <c r="D492" i="52"/>
  <c r="D493" i="52"/>
  <c r="D494" i="52"/>
  <c r="D495" i="52"/>
  <c r="D496" i="52"/>
  <c r="D497" i="52"/>
  <c r="D498" i="52"/>
  <c r="D499" i="52"/>
  <c r="D500" i="52"/>
  <c r="D501" i="52"/>
  <c r="D502" i="52"/>
  <c r="D503" i="52"/>
  <c r="D504" i="52"/>
  <c r="D505" i="52"/>
  <c r="D506" i="52"/>
  <c r="D507" i="52"/>
  <c r="D508" i="52"/>
  <c r="D509" i="52"/>
  <c r="D510" i="52"/>
  <c r="D511" i="52"/>
  <c r="D512" i="52"/>
  <c r="D513" i="52"/>
  <c r="D514" i="52"/>
  <c r="D515" i="52"/>
  <c r="D516" i="52"/>
  <c r="D517" i="52"/>
  <c r="D518" i="52"/>
  <c r="D519" i="52"/>
  <c r="D520" i="52"/>
  <c r="D521" i="52"/>
  <c r="D522" i="52"/>
  <c r="D523" i="52"/>
  <c r="D524" i="52"/>
  <c r="D525" i="52"/>
  <c r="D526" i="52"/>
  <c r="D527" i="52"/>
  <c r="D528" i="52"/>
  <c r="D529" i="52"/>
  <c r="D530" i="52"/>
  <c r="D531" i="52"/>
  <c r="D532" i="52"/>
  <c r="D533" i="52"/>
  <c r="D534" i="52"/>
  <c r="D535" i="52"/>
  <c r="D536" i="52"/>
  <c r="D537" i="52"/>
  <c r="D538" i="52"/>
  <c r="D539" i="52"/>
  <c r="D540" i="52"/>
  <c r="D541" i="52"/>
  <c r="D542" i="52"/>
  <c r="D543" i="52"/>
  <c r="D544" i="52"/>
  <c r="D545" i="52"/>
  <c r="D546" i="52"/>
  <c r="D547" i="52"/>
  <c r="D548" i="52"/>
  <c r="D549" i="52"/>
  <c r="D550" i="52"/>
  <c r="D551" i="52"/>
  <c r="D552" i="52"/>
  <c r="D553" i="52"/>
  <c r="D554" i="52"/>
  <c r="D555" i="52"/>
  <c r="D556" i="52"/>
  <c r="D557" i="52"/>
  <c r="D558" i="52"/>
  <c r="D559" i="52"/>
  <c r="D560" i="52"/>
  <c r="D561" i="52"/>
  <c r="D562" i="52"/>
  <c r="D563" i="52"/>
  <c r="D564" i="52"/>
  <c r="D565" i="52"/>
  <c r="D566" i="52"/>
  <c r="D567" i="52"/>
  <c r="D568" i="52"/>
  <c r="D569" i="52"/>
  <c r="D570" i="52"/>
  <c r="D571" i="52"/>
  <c r="D572" i="52"/>
  <c r="D573" i="52"/>
  <c r="D574" i="52"/>
  <c r="D575" i="52"/>
  <c r="D576" i="52"/>
  <c r="D577" i="52"/>
  <c r="D578" i="52"/>
  <c r="D579" i="52"/>
  <c r="D580" i="52"/>
  <c r="D581" i="52"/>
  <c r="D582" i="52"/>
  <c r="D583" i="52"/>
  <c r="D584" i="52"/>
  <c r="D585" i="52"/>
  <c r="D586" i="52"/>
  <c r="D587" i="52"/>
  <c r="D588" i="52"/>
  <c r="D589" i="52"/>
  <c r="D590" i="52"/>
  <c r="D591" i="52"/>
  <c r="D592" i="52"/>
  <c r="D593" i="52"/>
  <c r="D594" i="52"/>
  <c r="D595" i="52"/>
  <c r="D596" i="52"/>
  <c r="D597" i="52"/>
  <c r="D598" i="52"/>
  <c r="D599" i="52"/>
  <c r="D600" i="52"/>
  <c r="D601" i="52"/>
  <c r="D602" i="52"/>
  <c r="D603" i="52"/>
  <c r="D604" i="52"/>
  <c r="D605" i="52"/>
  <c r="D606" i="52"/>
  <c r="D607" i="52"/>
  <c r="D608" i="52"/>
  <c r="D609" i="52"/>
  <c r="D610" i="52"/>
  <c r="D611" i="52"/>
  <c r="D612" i="52"/>
  <c r="D613" i="52"/>
  <c r="D614" i="52"/>
  <c r="D615" i="52"/>
  <c r="D616" i="52"/>
  <c r="D617" i="52"/>
  <c r="D618" i="52"/>
  <c r="D619" i="52"/>
  <c r="D620" i="52"/>
  <c r="D621" i="52"/>
  <c r="D622" i="52"/>
  <c r="D623" i="52"/>
  <c r="D624" i="52"/>
  <c r="D625" i="52"/>
  <c r="D626" i="52"/>
  <c r="D627" i="52"/>
  <c r="D628" i="52"/>
  <c r="D629" i="52"/>
  <c r="D630" i="52"/>
  <c r="D631" i="52"/>
  <c r="D632" i="52"/>
  <c r="D633" i="52"/>
  <c r="D634" i="52"/>
  <c r="D635" i="52"/>
  <c r="D636" i="52"/>
  <c r="D637" i="52"/>
  <c r="D638" i="52"/>
  <c r="D639" i="52"/>
  <c r="D640" i="52"/>
  <c r="D641" i="52"/>
  <c r="D642" i="52"/>
  <c r="D643" i="52"/>
  <c r="D644" i="52"/>
  <c r="D645" i="52"/>
  <c r="D646" i="52"/>
  <c r="D647" i="52"/>
  <c r="D648" i="52"/>
  <c r="D649" i="52"/>
  <c r="D650" i="52"/>
  <c r="D651" i="52"/>
  <c r="D652" i="52"/>
  <c r="D653" i="52"/>
  <c r="D654" i="52"/>
  <c r="D655" i="52"/>
  <c r="D656" i="52"/>
  <c r="D657" i="52"/>
  <c r="D658" i="52"/>
  <c r="D659" i="52"/>
  <c r="D660" i="52"/>
  <c r="D661" i="52"/>
  <c r="D662" i="52"/>
  <c r="D663" i="52"/>
  <c r="D664" i="52"/>
  <c r="D665" i="52"/>
  <c r="D666" i="52"/>
  <c r="D667" i="52"/>
  <c r="D668" i="52"/>
  <c r="D669" i="52"/>
  <c r="D670" i="52"/>
  <c r="D671" i="52"/>
  <c r="D22" i="52"/>
  <c r="B1" i="52" l="1"/>
  <c r="B10" i="13"/>
  <c r="B4" i="52" l="1"/>
  <c r="B2" i="52"/>
  <c r="B3" i="52"/>
  <c r="B5" i="52"/>
  <c r="B16" i="13"/>
  <c r="B36" i="13"/>
  <c r="C12" i="13"/>
  <c r="C23" i="13"/>
  <c r="C22" i="13"/>
  <c r="C26" i="13"/>
  <c r="C30" i="13"/>
  <c r="C33" i="13"/>
  <c r="D18" i="13"/>
  <c r="D28" i="13"/>
  <c r="D24" i="13"/>
  <c r="D27" i="13"/>
  <c r="B21" i="40"/>
  <c r="B20" i="40"/>
  <c r="B23" i="40"/>
  <c r="B27" i="40"/>
  <c r="C21" i="40"/>
  <c r="C16" i="40"/>
  <c r="C22" i="40"/>
  <c r="D10" i="40"/>
  <c r="D17" i="40"/>
  <c r="D24" i="40"/>
  <c r="E21" i="40"/>
  <c r="E23" i="40"/>
  <c r="E25" i="40"/>
  <c r="B13" i="41"/>
  <c r="B14" i="41"/>
  <c r="B22" i="41"/>
  <c r="B34" i="41"/>
  <c r="C10" i="41"/>
  <c r="C25" i="41"/>
  <c r="C32" i="41"/>
  <c r="D14" i="41"/>
  <c r="D16" i="41"/>
  <c r="D24" i="41"/>
  <c r="D26" i="41"/>
  <c r="D25" i="41"/>
  <c r="D31" i="41"/>
  <c r="D30" i="41"/>
  <c r="D32" i="41"/>
  <c r="D39" i="41"/>
  <c r="E13" i="41"/>
  <c r="E27" i="41"/>
  <c r="E22" i="41"/>
  <c r="E24" i="41"/>
  <c r="E29" i="41"/>
  <c r="E28" i="41"/>
  <c r="E31" i="41"/>
  <c r="E30" i="41"/>
  <c r="B10" i="48"/>
  <c r="B12" i="48"/>
  <c r="C10" i="48"/>
  <c r="C12" i="48"/>
  <c r="D13" i="48"/>
  <c r="E10" i="48"/>
  <c r="E13" i="48"/>
  <c r="B12" i="46"/>
  <c r="B23" i="46"/>
  <c r="B18" i="46"/>
  <c r="B20" i="46"/>
  <c r="B24" i="46"/>
  <c r="B30" i="46"/>
  <c r="B27" i="46"/>
  <c r="B26" i="46"/>
  <c r="B35" i="46"/>
  <c r="C18" i="46"/>
  <c r="C17" i="46"/>
  <c r="C21" i="46"/>
  <c r="C25" i="46"/>
  <c r="C24" i="46"/>
  <c r="C30" i="46"/>
  <c r="C29" i="46"/>
  <c r="D10" i="46"/>
  <c r="D23" i="46"/>
  <c r="D17" i="46"/>
  <c r="D21" i="46"/>
  <c r="D24" i="46"/>
  <c r="D30" i="46"/>
  <c r="D26" i="46"/>
  <c r="D29" i="46"/>
  <c r="E12" i="46"/>
  <c r="E13" i="46"/>
  <c r="E17" i="46"/>
  <c r="E20" i="46"/>
  <c r="E21" i="46"/>
  <c r="E25" i="46"/>
  <c r="E31" i="46"/>
  <c r="E26" i="46"/>
  <c r="B14" i="47"/>
  <c r="B16" i="47"/>
  <c r="B22" i="47"/>
  <c r="B21" i="47"/>
  <c r="B23" i="47"/>
  <c r="B26" i="47"/>
  <c r="B29" i="47"/>
  <c r="B35" i="47"/>
  <c r="B31" i="47"/>
  <c r="B33" i="47"/>
  <c r="B32" i="47"/>
  <c r="B39" i="47"/>
  <c r="C16" i="47"/>
  <c r="C17" i="47"/>
  <c r="C22" i="47"/>
  <c r="C21" i="47"/>
  <c r="C26" i="47"/>
  <c r="C29" i="47"/>
  <c r="C28" i="47"/>
  <c r="C32" i="47"/>
  <c r="D14" i="47"/>
  <c r="D15" i="47"/>
  <c r="D22" i="47"/>
  <c r="D26" i="47"/>
  <c r="D28" i="47"/>
  <c r="D34" i="47"/>
  <c r="D30" i="47"/>
  <c r="D33" i="47"/>
  <c r="B22" i="43"/>
  <c r="B17" i="43"/>
  <c r="B18" i="43"/>
  <c r="B23" i="43"/>
  <c r="B29" i="43"/>
  <c r="B28" i="43"/>
  <c r="C10" i="43"/>
  <c r="C17" i="43"/>
  <c r="C19" i="43"/>
  <c r="C21" i="43"/>
  <c r="C20" i="43"/>
  <c r="C24" i="43"/>
  <c r="C30" i="43"/>
  <c r="C27" i="43"/>
  <c r="D11" i="43"/>
  <c r="D12" i="43"/>
  <c r="D22" i="43"/>
  <c r="D16" i="43"/>
  <c r="D19" i="43"/>
  <c r="D18" i="43"/>
  <c r="D21" i="43"/>
  <c r="D29" i="43"/>
  <c r="D30" i="43"/>
  <c r="D28" i="43"/>
  <c r="D34" i="43"/>
  <c r="D35" i="43"/>
  <c r="B12" i="42"/>
  <c r="B22" i="42"/>
  <c r="B17" i="42"/>
  <c r="B18" i="42"/>
  <c r="B21" i="42"/>
  <c r="B29" i="42"/>
  <c r="B25" i="42"/>
  <c r="B28" i="42"/>
  <c r="C10" i="42"/>
  <c r="C11" i="42"/>
  <c r="C16" i="42"/>
  <c r="C19" i="42"/>
  <c r="C20" i="42"/>
  <c r="C24" i="42"/>
  <c r="C30" i="42"/>
  <c r="C26" i="42"/>
  <c r="C28" i="42"/>
  <c r="C27" i="42"/>
  <c r="D10" i="42"/>
  <c r="D12" i="42"/>
  <c r="D22" i="42"/>
  <c r="D17" i="42"/>
  <c r="D16" i="42"/>
  <c r="D19" i="42"/>
  <c r="D18" i="42"/>
  <c r="D21" i="42"/>
  <c r="D20" i="42"/>
  <c r="D24" i="42"/>
  <c r="D23" i="42"/>
  <c r="D29" i="42"/>
  <c r="D30" i="42"/>
  <c r="D26" i="42"/>
  <c r="D25" i="42"/>
  <c r="D28" i="42"/>
  <c r="D27" i="42"/>
  <c r="D34" i="42"/>
  <c r="E10" i="42"/>
  <c r="E11" i="42"/>
  <c r="E12" i="42"/>
  <c r="E22" i="42"/>
  <c r="E17" i="42"/>
  <c r="E16" i="42"/>
  <c r="E19" i="42"/>
  <c r="E18" i="42"/>
  <c r="E21" i="42"/>
  <c r="E20" i="42"/>
  <c r="E24" i="42"/>
  <c r="E23" i="42"/>
  <c r="E29" i="42"/>
  <c r="E30" i="42"/>
  <c r="E26" i="42"/>
  <c r="E25" i="42"/>
  <c r="E28" i="42"/>
  <c r="E27" i="42"/>
  <c r="E34" i="42"/>
  <c r="D19" i="40"/>
  <c r="E33" i="40"/>
  <c r="D12" i="48"/>
  <c r="C13" i="46"/>
  <c r="B17" i="47"/>
  <c r="C34" i="47"/>
  <c r="D16" i="47"/>
  <c r="D24" i="47"/>
  <c r="D25" i="47"/>
  <c r="D32" i="47"/>
  <c r="B16" i="43"/>
  <c r="B30" i="43"/>
  <c r="C11" i="43"/>
  <c r="D10" i="43"/>
  <c r="B30" i="42"/>
  <c r="B27" i="42"/>
  <c r="C12" i="42"/>
  <c r="C23" i="42"/>
  <c r="D11" i="42"/>
  <c r="B14" i="13"/>
  <c r="D22" i="13"/>
  <c r="B10" i="40"/>
  <c r="B26" i="40"/>
  <c r="E16" i="40"/>
  <c r="E15" i="40"/>
  <c r="E28" i="40"/>
  <c r="C27" i="41"/>
  <c r="C28" i="41"/>
  <c r="D21" i="41"/>
  <c r="D35" i="41"/>
  <c r="E21" i="41"/>
  <c r="E25" i="41"/>
  <c r="C11" i="48"/>
  <c r="C23" i="46"/>
  <c r="C28" i="46"/>
  <c r="D31" i="46"/>
  <c r="D27" i="46"/>
  <c r="E30" i="46"/>
  <c r="E35" i="46"/>
  <c r="B25" i="47"/>
  <c r="C14" i="47"/>
  <c r="C25" i="47"/>
  <c r="D21" i="47"/>
  <c r="D35" i="47"/>
  <c r="B10" i="43"/>
  <c r="B27" i="43"/>
  <c r="C18" i="43"/>
  <c r="C26" i="43"/>
  <c r="D27" i="43"/>
  <c r="B20" i="42"/>
  <c r="C18" i="42"/>
  <c r="B18" i="40"/>
  <c r="B10" i="41"/>
  <c r="E14" i="41"/>
  <c r="B15" i="47"/>
  <c r="C35" i="47"/>
  <c r="D27" i="47"/>
  <c r="D40" i="47"/>
  <c r="B25" i="43"/>
  <c r="C29" i="43"/>
  <c r="C25" i="43"/>
  <c r="D23" i="43"/>
  <c r="D26" i="43"/>
  <c r="C21" i="42"/>
  <c r="C13" i="48"/>
  <c r="B13" i="48"/>
  <c r="E12" i="48"/>
  <c r="E11" i="48"/>
  <c r="D11" i="48"/>
  <c r="B11" i="48"/>
  <c r="D10" i="48"/>
  <c r="B34" i="42"/>
  <c r="C29" i="42"/>
  <c r="B26" i="42"/>
  <c r="C25" i="42"/>
  <c r="B24" i="42"/>
  <c r="B23" i="42"/>
  <c r="C22" i="42"/>
  <c r="B19" i="42"/>
  <c r="C17" i="42"/>
  <c r="B16" i="42"/>
  <c r="B11" i="42"/>
  <c r="B10" i="42"/>
  <c r="B35" i="43"/>
  <c r="B34" i="43"/>
  <c r="C28" i="43"/>
  <c r="B26" i="43"/>
  <c r="D25" i="43"/>
  <c r="D24" i="43"/>
  <c r="B24" i="43"/>
  <c r="C23" i="43"/>
  <c r="C22" i="43"/>
  <c r="B21" i="43"/>
  <c r="D20" i="43"/>
  <c r="B20" i="43"/>
  <c r="B19" i="43"/>
  <c r="D17" i="43"/>
  <c r="C16" i="43"/>
  <c r="C12" i="43"/>
  <c r="B12" i="43"/>
  <c r="B11" i="43"/>
  <c r="D39" i="47"/>
  <c r="B40" i="47"/>
  <c r="B34" i="47"/>
  <c r="C33" i="47"/>
  <c r="D31" i="47"/>
  <c r="C31" i="47"/>
  <c r="C30" i="47"/>
  <c r="B30" i="47"/>
  <c r="D29" i="47"/>
  <c r="B28" i="47"/>
  <c r="C27" i="47"/>
  <c r="B27" i="47"/>
  <c r="C24" i="47"/>
  <c r="B24" i="47"/>
  <c r="D23" i="47"/>
  <c r="C23" i="47"/>
  <c r="D17" i="47"/>
  <c r="C15" i="47"/>
  <c r="D10" i="47"/>
  <c r="C10" i="47"/>
  <c r="B10" i="47"/>
  <c r="D35" i="46"/>
  <c r="C31" i="46"/>
  <c r="B31" i="46"/>
  <c r="E29" i="46"/>
  <c r="B29" i="46"/>
  <c r="E28" i="46"/>
  <c r="D28" i="46"/>
  <c r="B28" i="46"/>
  <c r="E27" i="46"/>
  <c r="C27" i="46"/>
  <c r="C26" i="46"/>
  <c r="D25" i="46"/>
  <c r="B25" i="46"/>
  <c r="E24" i="46"/>
  <c r="E23" i="46"/>
  <c r="E22" i="46"/>
  <c r="D22" i="46"/>
  <c r="C22" i="46"/>
  <c r="B22" i="46"/>
  <c r="B21" i="46"/>
  <c r="D20" i="46"/>
  <c r="C20" i="46"/>
  <c r="E19" i="46"/>
  <c r="D19" i="46"/>
  <c r="C19" i="46"/>
  <c r="B19" i="46"/>
  <c r="E18" i="46"/>
  <c r="D18" i="46"/>
  <c r="B17" i="46"/>
  <c r="D13" i="46"/>
  <c r="B13" i="46"/>
  <c r="D12" i="46"/>
  <c r="C12" i="46"/>
  <c r="E10" i="46"/>
  <c r="C10" i="46"/>
  <c r="B10" i="46"/>
  <c r="E39" i="41"/>
  <c r="B39" i="41"/>
  <c r="E35" i="41"/>
  <c r="C35" i="41"/>
  <c r="B35" i="41"/>
  <c r="E34" i="41"/>
  <c r="D34" i="41"/>
  <c r="C34" i="41"/>
  <c r="E33" i="41"/>
  <c r="D33" i="41"/>
  <c r="C33" i="41"/>
  <c r="B33" i="41"/>
  <c r="E32" i="41"/>
  <c r="B32" i="41"/>
  <c r="C31" i="41"/>
  <c r="B31" i="41"/>
  <c r="C30" i="41"/>
  <c r="B30" i="41"/>
  <c r="D29" i="41"/>
  <c r="C29" i="41"/>
  <c r="B29" i="41"/>
  <c r="D28" i="41"/>
  <c r="B28" i="41"/>
  <c r="D27" i="41"/>
  <c r="B27" i="41"/>
  <c r="E26" i="41"/>
  <c r="C26" i="41"/>
  <c r="B26" i="41"/>
  <c r="B25" i="41"/>
  <c r="C24" i="41"/>
  <c r="B24" i="41"/>
  <c r="E23" i="41"/>
  <c r="D23" i="41"/>
  <c r="C23" i="41"/>
  <c r="B23" i="41"/>
  <c r="D22" i="41"/>
  <c r="C22" i="41"/>
  <c r="C21" i="41"/>
  <c r="B21" i="41"/>
  <c r="E17" i="41"/>
  <c r="D17" i="41"/>
  <c r="C17" i="41"/>
  <c r="B17" i="41"/>
  <c r="E16" i="41"/>
  <c r="C16" i="41"/>
  <c r="B16" i="41"/>
  <c r="E15" i="41"/>
  <c r="D15" i="41"/>
  <c r="C15" i="41"/>
  <c r="B15" i="41"/>
  <c r="C14" i="41"/>
  <c r="D13" i="41"/>
  <c r="C13" i="41"/>
  <c r="E12" i="41"/>
  <c r="D12" i="41"/>
  <c r="C12" i="41"/>
  <c r="B12" i="41"/>
  <c r="E10" i="41"/>
  <c r="D10" i="41"/>
  <c r="B33" i="40"/>
  <c r="D33" i="40"/>
  <c r="E29" i="40"/>
  <c r="D29" i="40"/>
  <c r="C29" i="40"/>
  <c r="B29" i="40"/>
  <c r="D28" i="40"/>
  <c r="C28" i="40"/>
  <c r="B28" i="40"/>
  <c r="E27" i="40"/>
  <c r="D27" i="40"/>
  <c r="C27" i="40"/>
  <c r="E26" i="40"/>
  <c r="D26" i="40"/>
  <c r="C26" i="40"/>
  <c r="D25" i="40"/>
  <c r="C25" i="40"/>
  <c r="B25" i="40"/>
  <c r="E24" i="40"/>
  <c r="C24" i="40"/>
  <c r="B24" i="40"/>
  <c r="D23" i="40"/>
  <c r="C23" i="40"/>
  <c r="E22" i="40"/>
  <c r="D22" i="40"/>
  <c r="B22" i="40"/>
  <c r="D21" i="40"/>
  <c r="E20" i="40"/>
  <c r="D20" i="40"/>
  <c r="C20" i="40"/>
  <c r="E19" i="40"/>
  <c r="C19" i="40"/>
  <c r="B19" i="40"/>
  <c r="E18" i="40"/>
  <c r="D18" i="40"/>
  <c r="C18" i="40"/>
  <c r="E17" i="40"/>
  <c r="C17" i="40"/>
  <c r="B17" i="40"/>
  <c r="D16" i="40"/>
  <c r="B16" i="40"/>
  <c r="D15" i="40"/>
  <c r="C15" i="40"/>
  <c r="B15" i="40"/>
  <c r="E11" i="40"/>
  <c r="D11" i="40"/>
  <c r="C11" i="40"/>
  <c r="B11" i="40"/>
  <c r="E10" i="40"/>
  <c r="C10" i="40"/>
  <c r="D41" i="13"/>
  <c r="D40" i="13"/>
  <c r="B41" i="13"/>
  <c r="B40" i="13"/>
  <c r="D36" i="13"/>
  <c r="C36" i="13"/>
  <c r="D35" i="13"/>
  <c r="C35" i="13"/>
  <c r="B35" i="13"/>
  <c r="D34" i="13"/>
  <c r="C34" i="13"/>
  <c r="B34" i="13"/>
  <c r="D33" i="13"/>
  <c r="B33" i="13"/>
  <c r="D32" i="13"/>
  <c r="C32" i="13"/>
  <c r="B32" i="13"/>
  <c r="D31" i="13"/>
  <c r="C31" i="13"/>
  <c r="B31" i="13"/>
  <c r="D30" i="13"/>
  <c r="B30" i="13"/>
  <c r="D29" i="13"/>
  <c r="C29" i="13"/>
  <c r="B29" i="13"/>
  <c r="C28" i="13"/>
  <c r="B28" i="13"/>
  <c r="C27" i="13"/>
  <c r="B27" i="13"/>
  <c r="D26" i="13"/>
  <c r="B26" i="13"/>
  <c r="D25" i="13"/>
  <c r="C25" i="13"/>
  <c r="B25" i="13"/>
  <c r="C24" i="13"/>
  <c r="B24" i="13"/>
  <c r="D23" i="13"/>
  <c r="B23" i="13"/>
  <c r="B22" i="13"/>
  <c r="C18" i="13"/>
  <c r="B18" i="13"/>
  <c r="D17" i="13"/>
  <c r="C17" i="13"/>
  <c r="B17" i="13"/>
  <c r="D16" i="13"/>
  <c r="C16" i="13"/>
  <c r="D15" i="13"/>
  <c r="C15" i="13"/>
  <c r="B15" i="13"/>
  <c r="D14" i="13"/>
  <c r="C14" i="13"/>
  <c r="D13" i="13"/>
  <c r="C13" i="13"/>
  <c r="B13" i="13"/>
  <c r="D12" i="13"/>
  <c r="B12" i="13"/>
  <c r="D10" i="13"/>
  <c r="C10" i="13"/>
  <c r="C23" i="52"/>
  <c r="C24" i="52"/>
  <c r="C25" i="52"/>
  <c r="C26" i="52"/>
  <c r="C27" i="52"/>
  <c r="C28" i="52"/>
  <c r="C29" i="52"/>
  <c r="C30" i="52"/>
  <c r="C31" i="52"/>
  <c r="C32" i="52"/>
  <c r="C33" i="52"/>
  <c r="C34" i="52"/>
  <c r="C35" i="52"/>
  <c r="C36" i="52"/>
  <c r="C37" i="52"/>
  <c r="C38" i="52"/>
  <c r="C39" i="52"/>
  <c r="C40" i="52"/>
  <c r="C41" i="52"/>
  <c r="C42" i="52"/>
  <c r="C43" i="52"/>
  <c r="C44" i="52"/>
  <c r="C45" i="52"/>
  <c r="C46" i="52"/>
  <c r="C47" i="52"/>
  <c r="C48" i="52"/>
  <c r="C49" i="52"/>
  <c r="C50" i="52"/>
  <c r="C51" i="52"/>
  <c r="C52" i="52"/>
  <c r="C53" i="52"/>
  <c r="C54" i="52"/>
  <c r="C55" i="52"/>
  <c r="C56" i="52"/>
  <c r="C57" i="52"/>
  <c r="C58" i="52"/>
  <c r="C59" i="52"/>
  <c r="C60" i="52"/>
  <c r="C61" i="52"/>
  <c r="C62" i="52"/>
  <c r="C63" i="52"/>
  <c r="C64" i="52"/>
  <c r="C65" i="52"/>
  <c r="C66" i="52"/>
  <c r="C67" i="52"/>
  <c r="C68" i="52"/>
  <c r="C69" i="52"/>
  <c r="C70" i="52"/>
  <c r="C71" i="52"/>
  <c r="C72" i="52"/>
  <c r="C73" i="52"/>
  <c r="C74" i="52"/>
  <c r="C75" i="52"/>
  <c r="C76" i="52"/>
  <c r="C77" i="52"/>
  <c r="C78" i="52"/>
  <c r="C79" i="52"/>
  <c r="C80" i="52"/>
  <c r="C81" i="52"/>
  <c r="C82" i="52"/>
  <c r="C83" i="52"/>
  <c r="C84" i="52"/>
  <c r="C85" i="52"/>
  <c r="C86" i="52"/>
  <c r="C87" i="52"/>
  <c r="C88" i="52"/>
  <c r="C89" i="52"/>
  <c r="C90" i="52"/>
  <c r="C91" i="52"/>
  <c r="C92" i="52"/>
  <c r="C93" i="52"/>
  <c r="C94" i="52"/>
  <c r="C95" i="52"/>
  <c r="C96" i="52"/>
  <c r="C97" i="52"/>
  <c r="C98" i="52"/>
  <c r="C99" i="52"/>
  <c r="C100" i="52"/>
  <c r="C101" i="52"/>
  <c r="C102" i="52"/>
  <c r="C103" i="52"/>
  <c r="C104" i="52"/>
  <c r="C105" i="52"/>
  <c r="C106" i="52"/>
  <c r="C107" i="52"/>
  <c r="C108" i="52"/>
  <c r="C109" i="52"/>
  <c r="C110" i="52"/>
  <c r="C111" i="52"/>
  <c r="C112" i="52"/>
  <c r="C113" i="52"/>
  <c r="C114" i="52"/>
  <c r="C115" i="52"/>
  <c r="C116" i="52"/>
  <c r="C117" i="52"/>
  <c r="C118" i="52"/>
  <c r="C119" i="52"/>
  <c r="C120" i="52"/>
  <c r="C121" i="52"/>
  <c r="C122" i="52"/>
  <c r="C123" i="52"/>
  <c r="C124" i="52"/>
  <c r="C125" i="52"/>
  <c r="C126" i="52"/>
  <c r="C127" i="52"/>
  <c r="C128" i="52"/>
  <c r="C129" i="52"/>
  <c r="C130" i="52"/>
  <c r="C131" i="52"/>
  <c r="C132" i="52"/>
  <c r="C133" i="52"/>
  <c r="C134" i="52"/>
  <c r="C135" i="52"/>
  <c r="C136" i="52"/>
  <c r="C137" i="52"/>
  <c r="C138" i="52"/>
  <c r="C139" i="52"/>
  <c r="C140" i="52"/>
  <c r="C141" i="52"/>
  <c r="C142" i="52"/>
  <c r="C143" i="52"/>
  <c r="C144" i="52"/>
  <c r="C145" i="52"/>
  <c r="C146" i="52"/>
  <c r="C147" i="52"/>
  <c r="C148" i="52"/>
  <c r="C149" i="52"/>
  <c r="C150" i="52"/>
  <c r="C151" i="52"/>
  <c r="C152" i="52"/>
  <c r="C153" i="52"/>
  <c r="C154" i="52"/>
  <c r="C155" i="52"/>
  <c r="C156" i="52"/>
  <c r="C157" i="52"/>
  <c r="C158" i="52"/>
  <c r="C159" i="52"/>
  <c r="C160" i="52"/>
  <c r="C161" i="52"/>
  <c r="C162" i="52"/>
  <c r="C163" i="52"/>
  <c r="C164" i="52"/>
  <c r="C165" i="52"/>
  <c r="C166" i="52"/>
  <c r="C167" i="52"/>
  <c r="C168" i="52"/>
  <c r="C169" i="52"/>
  <c r="C170" i="52"/>
  <c r="C171" i="52"/>
  <c r="C172" i="52"/>
  <c r="C173" i="52"/>
  <c r="C174" i="52"/>
  <c r="C175" i="52"/>
  <c r="C176" i="52"/>
  <c r="C177" i="52"/>
  <c r="C178" i="52"/>
  <c r="C179" i="52"/>
  <c r="C180" i="52"/>
  <c r="C181" i="52"/>
  <c r="C182" i="52"/>
  <c r="C183" i="52"/>
  <c r="C184" i="52"/>
  <c r="C185" i="52"/>
  <c r="C186" i="52"/>
  <c r="C187" i="52"/>
  <c r="C188" i="52"/>
  <c r="C189" i="52"/>
  <c r="C190" i="52"/>
  <c r="C191" i="52"/>
  <c r="C192" i="52"/>
  <c r="C193" i="52"/>
  <c r="C194" i="52"/>
  <c r="C195" i="52"/>
  <c r="C196" i="52"/>
  <c r="C197" i="52"/>
  <c r="C198" i="52"/>
  <c r="C199" i="52"/>
  <c r="C200" i="52"/>
  <c r="C201" i="52"/>
  <c r="C202" i="52"/>
  <c r="C203" i="52"/>
  <c r="C204" i="52"/>
  <c r="C205" i="52"/>
  <c r="C206" i="52"/>
  <c r="C207" i="52"/>
  <c r="C208" i="52"/>
  <c r="C209" i="52"/>
  <c r="C210" i="52"/>
  <c r="C211" i="52"/>
  <c r="C212" i="52"/>
  <c r="C213" i="52"/>
  <c r="C214" i="52"/>
  <c r="C215" i="52"/>
  <c r="C216" i="52"/>
  <c r="C217" i="52"/>
  <c r="C218" i="52"/>
  <c r="C219" i="52"/>
  <c r="C220" i="52"/>
  <c r="C221" i="52"/>
  <c r="C222" i="52"/>
  <c r="C223" i="52"/>
  <c r="C224" i="52"/>
  <c r="C225" i="52"/>
  <c r="C226" i="52"/>
  <c r="C227" i="52"/>
  <c r="C228" i="52"/>
  <c r="C229" i="52"/>
  <c r="C230" i="52"/>
  <c r="C231" i="52"/>
  <c r="C232" i="52"/>
  <c r="C233" i="52"/>
  <c r="C234" i="52"/>
  <c r="C235" i="52"/>
  <c r="C236" i="52"/>
  <c r="C237" i="52"/>
  <c r="C238" i="52"/>
  <c r="C239" i="52"/>
  <c r="C240" i="52"/>
  <c r="C241" i="52"/>
  <c r="C242" i="52"/>
  <c r="C243" i="52"/>
  <c r="C244" i="52"/>
  <c r="C245" i="52"/>
  <c r="C246" i="52"/>
  <c r="C247" i="52"/>
  <c r="C248" i="52"/>
  <c r="C249" i="52"/>
  <c r="C250" i="52"/>
  <c r="C251" i="52"/>
  <c r="C252" i="52"/>
  <c r="C253" i="52"/>
  <c r="C254" i="52"/>
  <c r="C255" i="52"/>
  <c r="C256" i="52"/>
  <c r="C257" i="52"/>
  <c r="C258" i="52"/>
  <c r="C259" i="52"/>
  <c r="C260" i="52"/>
  <c r="C261" i="52"/>
  <c r="C262" i="52"/>
  <c r="C263" i="52"/>
  <c r="C264" i="52"/>
  <c r="C265" i="52"/>
  <c r="C266" i="52"/>
  <c r="C267" i="52"/>
  <c r="C268" i="52"/>
  <c r="C269" i="52"/>
  <c r="C270" i="52"/>
  <c r="C271" i="52"/>
  <c r="C272" i="52"/>
  <c r="C273" i="52"/>
  <c r="C274" i="52"/>
  <c r="C275" i="52"/>
  <c r="C276" i="52"/>
  <c r="C277" i="52"/>
  <c r="C278" i="52"/>
  <c r="C279" i="52"/>
  <c r="C280" i="52"/>
  <c r="C281" i="52"/>
  <c r="C282" i="52"/>
  <c r="C283" i="52"/>
  <c r="C284" i="52"/>
  <c r="C285" i="52"/>
  <c r="C286" i="52"/>
  <c r="C287" i="52"/>
  <c r="C288" i="52"/>
  <c r="C289" i="52"/>
  <c r="C290" i="52"/>
  <c r="C291" i="52"/>
  <c r="C292" i="52"/>
  <c r="C293" i="52"/>
  <c r="C294" i="52"/>
  <c r="C295" i="52"/>
  <c r="C296" i="52"/>
  <c r="C297" i="52"/>
  <c r="C298" i="52"/>
  <c r="C299" i="52"/>
  <c r="C300" i="52"/>
  <c r="C301" i="52"/>
  <c r="C302" i="52"/>
  <c r="C303" i="52"/>
  <c r="C304" i="52"/>
  <c r="C305" i="52"/>
  <c r="C306" i="52"/>
  <c r="C307" i="52"/>
  <c r="C308" i="52"/>
  <c r="C309" i="52"/>
  <c r="C310" i="52"/>
  <c r="C311" i="52"/>
  <c r="C312" i="52"/>
  <c r="C313" i="52"/>
  <c r="C314" i="52"/>
  <c r="C315" i="52"/>
  <c r="C316" i="52"/>
  <c r="C317" i="52"/>
  <c r="C318" i="52"/>
  <c r="C319" i="52"/>
  <c r="C320" i="52"/>
  <c r="C321" i="52"/>
  <c r="C322" i="52"/>
  <c r="C323" i="52"/>
  <c r="C324" i="52"/>
  <c r="C325" i="52"/>
  <c r="C326" i="52"/>
  <c r="C327" i="52"/>
  <c r="C328" i="52"/>
  <c r="C329" i="52"/>
  <c r="C330" i="52"/>
  <c r="C331" i="52"/>
  <c r="C332" i="52"/>
  <c r="C333" i="52"/>
  <c r="C334" i="52"/>
  <c r="C335" i="52"/>
  <c r="C336" i="52"/>
  <c r="C337" i="52"/>
  <c r="C338" i="52"/>
  <c r="C339" i="52"/>
  <c r="C340" i="52"/>
  <c r="C341" i="52"/>
  <c r="C342" i="52"/>
  <c r="C343" i="52"/>
  <c r="C344" i="52"/>
  <c r="C345" i="52"/>
  <c r="C346" i="52"/>
  <c r="C347" i="52"/>
  <c r="C348" i="52"/>
  <c r="C349" i="52"/>
  <c r="C350" i="52"/>
  <c r="C351" i="52"/>
  <c r="C352" i="52"/>
  <c r="C353" i="52"/>
  <c r="C354" i="52"/>
  <c r="C355" i="52"/>
  <c r="C356" i="52"/>
  <c r="C357" i="52"/>
  <c r="C358" i="52"/>
  <c r="C359" i="52"/>
  <c r="C360" i="52"/>
  <c r="C361" i="52"/>
  <c r="C362" i="52"/>
  <c r="C363" i="52"/>
  <c r="C364" i="52"/>
  <c r="C365" i="52"/>
  <c r="C366" i="52"/>
  <c r="C367" i="52"/>
  <c r="C368" i="52"/>
  <c r="C369" i="52"/>
  <c r="C370" i="52"/>
  <c r="C371" i="52"/>
  <c r="C372" i="52"/>
  <c r="C373" i="52"/>
  <c r="C374" i="52"/>
  <c r="C375" i="52"/>
  <c r="C376" i="52"/>
  <c r="C377" i="52"/>
  <c r="C378" i="52"/>
  <c r="C379" i="52"/>
  <c r="C380" i="52"/>
  <c r="C381" i="52"/>
  <c r="C382" i="52"/>
  <c r="C383" i="52"/>
  <c r="C384" i="52"/>
  <c r="C385" i="52"/>
  <c r="C386" i="52"/>
  <c r="C387" i="52"/>
  <c r="C388" i="52"/>
  <c r="C389" i="52"/>
  <c r="C390" i="52"/>
  <c r="C391" i="52"/>
  <c r="C392" i="52"/>
  <c r="C393" i="52"/>
  <c r="C394" i="52"/>
  <c r="C395" i="52"/>
  <c r="C396" i="52"/>
  <c r="C397" i="52"/>
  <c r="C398" i="52"/>
  <c r="C399" i="52"/>
  <c r="C400" i="52"/>
  <c r="C401" i="52"/>
  <c r="C402" i="52"/>
  <c r="C403" i="52"/>
  <c r="C404" i="52"/>
  <c r="C405" i="52"/>
  <c r="C406" i="52"/>
  <c r="C407" i="52"/>
  <c r="C408" i="52"/>
  <c r="C409" i="52"/>
  <c r="C410" i="52"/>
  <c r="C411" i="52"/>
  <c r="C412" i="52"/>
  <c r="C413" i="52"/>
  <c r="C414" i="52"/>
  <c r="C415" i="52"/>
  <c r="C416" i="52"/>
  <c r="C417" i="52"/>
  <c r="C418" i="52"/>
  <c r="C419" i="52"/>
  <c r="C420" i="52"/>
  <c r="C421" i="52"/>
  <c r="C422" i="52"/>
  <c r="C423" i="52"/>
  <c r="C424" i="52"/>
  <c r="C425" i="52"/>
  <c r="C426" i="52"/>
  <c r="C427" i="52"/>
  <c r="C428" i="52"/>
  <c r="C429" i="52"/>
  <c r="C430" i="52"/>
  <c r="C431" i="52"/>
  <c r="C432" i="52"/>
  <c r="C433" i="52"/>
  <c r="C434" i="52"/>
  <c r="C435" i="52"/>
  <c r="C436" i="52"/>
  <c r="C437" i="52"/>
  <c r="C438" i="52"/>
  <c r="C439" i="52"/>
  <c r="C440" i="52"/>
  <c r="C441" i="52"/>
  <c r="C442" i="52"/>
  <c r="C443" i="52"/>
  <c r="C444" i="52"/>
  <c r="C445" i="52"/>
  <c r="C446" i="52"/>
  <c r="C447" i="52"/>
  <c r="C448" i="52"/>
  <c r="C449" i="52"/>
  <c r="C450" i="52"/>
  <c r="C451" i="52"/>
  <c r="C452" i="52"/>
  <c r="C453" i="52"/>
  <c r="C454" i="52"/>
  <c r="C455" i="52"/>
  <c r="C456" i="52"/>
  <c r="C457" i="52"/>
  <c r="C458" i="52"/>
  <c r="C459" i="52"/>
  <c r="C460" i="52"/>
  <c r="C461" i="52"/>
  <c r="C462" i="52"/>
  <c r="C463" i="52"/>
  <c r="C464" i="52"/>
  <c r="C465" i="52"/>
  <c r="C466" i="52"/>
  <c r="C467" i="52"/>
  <c r="C468" i="52"/>
  <c r="C469" i="52"/>
  <c r="C470" i="52"/>
  <c r="C471" i="52"/>
  <c r="C472" i="52"/>
  <c r="C473" i="52"/>
  <c r="C474" i="52"/>
  <c r="C475" i="52"/>
  <c r="C476" i="52"/>
  <c r="C477" i="52"/>
  <c r="C478" i="52"/>
  <c r="C479" i="52"/>
  <c r="C480" i="52"/>
  <c r="C481" i="52"/>
  <c r="C482" i="52"/>
  <c r="C483" i="52"/>
  <c r="C484" i="52"/>
  <c r="C485" i="52"/>
  <c r="C486" i="52"/>
  <c r="C487" i="52"/>
  <c r="C488" i="52"/>
  <c r="C489" i="52"/>
  <c r="C490" i="52"/>
  <c r="C491" i="52"/>
  <c r="C492" i="52"/>
  <c r="C493" i="52"/>
  <c r="C494" i="52"/>
  <c r="C495" i="52"/>
  <c r="C496" i="52"/>
  <c r="C497" i="52"/>
  <c r="C498" i="52"/>
  <c r="C499" i="52"/>
  <c r="C500" i="52"/>
  <c r="C501" i="52"/>
  <c r="C502" i="52"/>
  <c r="C503" i="52"/>
  <c r="C504" i="52"/>
  <c r="C505" i="52"/>
  <c r="C506" i="52"/>
  <c r="C507" i="52"/>
  <c r="C508" i="52"/>
  <c r="C509" i="52"/>
  <c r="C510" i="52"/>
  <c r="C511" i="52"/>
  <c r="C512" i="52"/>
  <c r="C513" i="52"/>
  <c r="C514" i="52"/>
  <c r="C515" i="52"/>
  <c r="C516" i="52"/>
  <c r="C517" i="52"/>
  <c r="C518" i="52"/>
  <c r="C519" i="52"/>
  <c r="C520" i="52"/>
  <c r="C521" i="52"/>
  <c r="C522" i="52"/>
  <c r="C523" i="52"/>
  <c r="C524" i="52"/>
  <c r="C525" i="52"/>
  <c r="C526" i="52"/>
  <c r="C527" i="52"/>
  <c r="C528" i="52"/>
  <c r="C529" i="52"/>
  <c r="C530" i="52"/>
  <c r="C531" i="52"/>
  <c r="C532" i="52"/>
  <c r="C533" i="52"/>
  <c r="C534" i="52"/>
  <c r="C535" i="52"/>
  <c r="C536" i="52"/>
  <c r="C537" i="52"/>
  <c r="C538" i="52"/>
  <c r="C539" i="52"/>
  <c r="C540" i="52"/>
  <c r="C541" i="52"/>
  <c r="C542" i="52"/>
  <c r="C543" i="52"/>
  <c r="C544" i="52"/>
  <c r="C545" i="52"/>
  <c r="C546" i="52"/>
  <c r="C547" i="52"/>
  <c r="C548" i="52"/>
  <c r="C549" i="52"/>
  <c r="C550" i="52"/>
  <c r="C551" i="52"/>
  <c r="C552" i="52"/>
  <c r="C553" i="52"/>
  <c r="C554" i="52"/>
  <c r="C555" i="52"/>
  <c r="C556" i="52"/>
  <c r="C557" i="52"/>
  <c r="C558" i="52"/>
  <c r="C559" i="52"/>
  <c r="C560" i="52"/>
  <c r="C561" i="52"/>
  <c r="C562" i="52"/>
  <c r="C563" i="52"/>
  <c r="C564" i="52"/>
  <c r="C565" i="52"/>
  <c r="C566" i="52"/>
  <c r="C567" i="52"/>
  <c r="C568" i="52"/>
  <c r="C569" i="52"/>
  <c r="C570" i="52"/>
  <c r="C571" i="52"/>
  <c r="C572" i="52"/>
  <c r="C573" i="52"/>
  <c r="C574" i="52"/>
  <c r="C575" i="52"/>
  <c r="C576" i="52"/>
  <c r="C577" i="52"/>
  <c r="C578" i="52"/>
  <c r="C579" i="52"/>
  <c r="C580" i="52"/>
  <c r="C581" i="52"/>
  <c r="C582" i="52"/>
  <c r="C583" i="52"/>
  <c r="C584" i="52"/>
  <c r="C585" i="52"/>
  <c r="C586" i="52"/>
  <c r="C587" i="52"/>
  <c r="C588" i="52"/>
  <c r="C589" i="52"/>
  <c r="C590" i="52"/>
  <c r="C591" i="52"/>
  <c r="C592" i="52"/>
  <c r="C593" i="52"/>
  <c r="C594" i="52"/>
  <c r="C595" i="52"/>
  <c r="C596" i="52"/>
  <c r="C597" i="52"/>
  <c r="C598" i="52"/>
  <c r="C599" i="52"/>
  <c r="C600" i="52"/>
  <c r="C601" i="52"/>
  <c r="C602" i="52"/>
  <c r="C603" i="52"/>
  <c r="C604" i="52"/>
  <c r="C605" i="52"/>
  <c r="C606" i="52"/>
  <c r="C607" i="52"/>
  <c r="C608" i="52"/>
  <c r="C609" i="52"/>
  <c r="C610" i="52"/>
  <c r="C611" i="52"/>
  <c r="C612" i="52"/>
  <c r="C613" i="52"/>
  <c r="C614" i="52"/>
  <c r="C615" i="52"/>
  <c r="C616" i="52"/>
  <c r="C617" i="52"/>
  <c r="C618" i="52"/>
  <c r="C619" i="52"/>
  <c r="C620" i="52"/>
  <c r="C621" i="52"/>
  <c r="C622" i="52"/>
  <c r="C623" i="52"/>
  <c r="C624" i="52"/>
  <c r="C625" i="52"/>
  <c r="C626" i="52"/>
  <c r="C627" i="52"/>
  <c r="C628" i="52"/>
  <c r="C629" i="52"/>
  <c r="C630" i="52"/>
  <c r="C631" i="52"/>
  <c r="C632" i="52"/>
  <c r="C633" i="52"/>
  <c r="C634" i="52"/>
  <c r="C635" i="52"/>
  <c r="C636" i="52"/>
  <c r="C637" i="52"/>
  <c r="C638" i="52"/>
  <c r="C639" i="52"/>
  <c r="C640" i="52"/>
  <c r="C641" i="52"/>
  <c r="C642" i="52"/>
  <c r="C643" i="52"/>
  <c r="C644" i="52"/>
  <c r="C645" i="52"/>
  <c r="C646" i="52"/>
  <c r="C647" i="52"/>
  <c r="C648" i="52"/>
  <c r="C649" i="52"/>
  <c r="C650" i="52"/>
  <c r="C651" i="52"/>
  <c r="C652" i="52"/>
  <c r="C653" i="52"/>
  <c r="C654" i="52"/>
  <c r="C655" i="52"/>
  <c r="C656" i="52"/>
  <c r="C657" i="52"/>
  <c r="C658" i="52"/>
  <c r="C659" i="52"/>
  <c r="C660" i="52"/>
  <c r="C661" i="52"/>
  <c r="C662" i="52"/>
  <c r="C663" i="52"/>
  <c r="C664" i="52"/>
  <c r="C665" i="52"/>
  <c r="C666" i="52"/>
  <c r="C667" i="52"/>
  <c r="C668" i="52"/>
  <c r="C669" i="52"/>
  <c r="C670" i="52"/>
  <c r="C671" i="52"/>
  <c r="C22" i="52"/>
  <c r="B18" i="52"/>
  <c r="B19" i="52" s="1"/>
  <c r="B14" i="52"/>
  <c r="B16" i="52" s="1"/>
  <c r="B23" i="52"/>
  <c r="B24" i="52"/>
  <c r="B25" i="52"/>
  <c r="B26" i="52"/>
  <c r="B27" i="52"/>
  <c r="B28" i="52"/>
  <c r="B29" i="52"/>
  <c r="B30" i="52"/>
  <c r="B31" i="52"/>
  <c r="B32" i="52"/>
  <c r="B33" i="52"/>
  <c r="B34" i="52"/>
  <c r="B35" i="52"/>
  <c r="B36" i="52"/>
  <c r="B37" i="52"/>
  <c r="B38" i="52"/>
  <c r="B39" i="52"/>
  <c r="B40" i="52"/>
  <c r="B41" i="52"/>
  <c r="B42" i="52"/>
  <c r="B43" i="52"/>
  <c r="B44" i="52"/>
  <c r="B45" i="52"/>
  <c r="B46" i="52"/>
  <c r="B47" i="52"/>
  <c r="B48" i="52"/>
  <c r="B49" i="52"/>
  <c r="B50" i="52"/>
  <c r="B51" i="52"/>
  <c r="B52" i="52"/>
  <c r="B53" i="52"/>
  <c r="B54" i="52"/>
  <c r="B55" i="52"/>
  <c r="B56" i="52"/>
  <c r="B57" i="52"/>
  <c r="B58" i="52"/>
  <c r="B59" i="52"/>
  <c r="B60" i="52"/>
  <c r="B61" i="52"/>
  <c r="B62" i="52"/>
  <c r="B63" i="52"/>
  <c r="B64" i="52"/>
  <c r="B65" i="52"/>
  <c r="B66" i="52"/>
  <c r="B67" i="52"/>
  <c r="B68" i="52"/>
  <c r="B69" i="52"/>
  <c r="B70" i="52"/>
  <c r="B71" i="52"/>
  <c r="B72" i="52"/>
  <c r="B73" i="52"/>
  <c r="B74" i="52"/>
  <c r="B75" i="52"/>
  <c r="B76" i="52"/>
  <c r="B77" i="52"/>
  <c r="B78" i="52"/>
  <c r="B79" i="52"/>
  <c r="B80" i="52"/>
  <c r="B81" i="52"/>
  <c r="B82" i="52"/>
  <c r="B83" i="52"/>
  <c r="B84" i="52"/>
  <c r="B85" i="52"/>
  <c r="B86" i="52"/>
  <c r="B87" i="52"/>
  <c r="B88" i="52"/>
  <c r="B89" i="52"/>
  <c r="B90" i="52"/>
  <c r="B91" i="52"/>
  <c r="B92" i="52"/>
  <c r="B93" i="52"/>
  <c r="B94" i="52"/>
  <c r="B95" i="52"/>
  <c r="B96" i="52"/>
  <c r="B97" i="52"/>
  <c r="B98" i="52"/>
  <c r="B99" i="52"/>
  <c r="B100" i="52"/>
  <c r="B101" i="52"/>
  <c r="B102" i="52"/>
  <c r="B103" i="52"/>
  <c r="B104" i="52"/>
  <c r="B105" i="52"/>
  <c r="B106" i="52"/>
  <c r="B107" i="52"/>
  <c r="B108" i="52"/>
  <c r="B109" i="52"/>
  <c r="B110" i="52"/>
  <c r="B111" i="52"/>
  <c r="B112" i="52"/>
  <c r="B113" i="52"/>
  <c r="B114" i="52"/>
  <c r="B115" i="52"/>
  <c r="B116" i="52"/>
  <c r="B117" i="52"/>
  <c r="B118" i="52"/>
  <c r="B119" i="52"/>
  <c r="B120" i="52"/>
  <c r="B121" i="52"/>
  <c r="B122" i="52"/>
  <c r="B123" i="52"/>
  <c r="B124" i="52"/>
  <c r="B125" i="52"/>
  <c r="B126" i="52"/>
  <c r="B127" i="52"/>
  <c r="B128" i="52"/>
  <c r="B129" i="52"/>
  <c r="B130" i="52"/>
  <c r="B131" i="52"/>
  <c r="B132" i="52"/>
  <c r="B133" i="52"/>
  <c r="B134" i="52"/>
  <c r="B135" i="52"/>
  <c r="B136" i="52"/>
  <c r="B137" i="52"/>
  <c r="B138" i="52"/>
  <c r="B139" i="52"/>
  <c r="B140" i="52"/>
  <c r="B141" i="52"/>
  <c r="B142" i="52"/>
  <c r="B143" i="52"/>
  <c r="B144" i="52"/>
  <c r="B145" i="52"/>
  <c r="B146" i="52"/>
  <c r="B147" i="52"/>
  <c r="B148" i="52"/>
  <c r="B149" i="52"/>
  <c r="B150" i="52"/>
  <c r="B151" i="52"/>
  <c r="B152" i="52"/>
  <c r="B153" i="52"/>
  <c r="B154" i="52"/>
  <c r="B155" i="52"/>
  <c r="B156" i="52"/>
  <c r="B157" i="52"/>
  <c r="B158" i="52"/>
  <c r="B159" i="52"/>
  <c r="B160" i="52"/>
  <c r="B161" i="52"/>
  <c r="B162" i="52"/>
  <c r="B163" i="52"/>
  <c r="B164" i="52"/>
  <c r="B165" i="52"/>
  <c r="B166" i="52"/>
  <c r="B167" i="52"/>
  <c r="B168" i="52"/>
  <c r="B169" i="52"/>
  <c r="B170" i="52"/>
  <c r="B171" i="52"/>
  <c r="B172" i="52"/>
  <c r="B173" i="52"/>
  <c r="B174" i="52"/>
  <c r="B175" i="52"/>
  <c r="B176" i="52"/>
  <c r="B177" i="52"/>
  <c r="B178" i="52"/>
  <c r="B179" i="52"/>
  <c r="B180" i="52"/>
  <c r="B181" i="52"/>
  <c r="B182" i="52"/>
  <c r="B183" i="52"/>
  <c r="B184" i="52"/>
  <c r="B185" i="52"/>
  <c r="B186" i="52"/>
  <c r="B187" i="52"/>
  <c r="B188" i="52"/>
  <c r="B189" i="52"/>
  <c r="B190" i="52"/>
  <c r="B191" i="52"/>
  <c r="B192" i="52"/>
  <c r="B193" i="52"/>
  <c r="B194" i="52"/>
  <c r="B195" i="52"/>
  <c r="B196" i="52"/>
  <c r="B197" i="52"/>
  <c r="B198" i="52"/>
  <c r="B199" i="52"/>
  <c r="B200" i="52"/>
  <c r="B201" i="52"/>
  <c r="B202" i="52"/>
  <c r="B203" i="52"/>
  <c r="B204" i="52"/>
  <c r="B205" i="52"/>
  <c r="B206" i="52"/>
  <c r="B207" i="52"/>
  <c r="B208" i="52"/>
  <c r="B209" i="52"/>
  <c r="B210" i="52"/>
  <c r="B211" i="52"/>
  <c r="B212" i="52"/>
  <c r="B213" i="52"/>
  <c r="B214" i="52"/>
  <c r="B215" i="52"/>
  <c r="B216" i="52"/>
  <c r="B217" i="52"/>
  <c r="B218" i="52"/>
  <c r="B219" i="52"/>
  <c r="B220" i="52"/>
  <c r="B221" i="52"/>
  <c r="B222" i="52"/>
  <c r="B223" i="52"/>
  <c r="B224" i="52"/>
  <c r="B225" i="52"/>
  <c r="B226" i="52"/>
  <c r="B227" i="52"/>
  <c r="B228" i="52"/>
  <c r="B229" i="52"/>
  <c r="B230" i="52"/>
  <c r="B231" i="52"/>
  <c r="B232" i="52"/>
  <c r="B233" i="52"/>
  <c r="B234" i="52"/>
  <c r="B235" i="52"/>
  <c r="B236" i="52"/>
  <c r="B237" i="52"/>
  <c r="B238" i="52"/>
  <c r="B239" i="52"/>
  <c r="B240" i="52"/>
  <c r="B241" i="52"/>
  <c r="B242" i="52"/>
  <c r="B243" i="52"/>
  <c r="B244" i="52"/>
  <c r="B245" i="52"/>
  <c r="B246" i="52"/>
  <c r="B247" i="52"/>
  <c r="B248" i="52"/>
  <c r="B249" i="52"/>
  <c r="B250" i="52"/>
  <c r="B251" i="52"/>
  <c r="B252" i="52"/>
  <c r="B253" i="52"/>
  <c r="B254" i="52"/>
  <c r="B255" i="52"/>
  <c r="B256" i="52"/>
  <c r="B257" i="52"/>
  <c r="B258" i="52"/>
  <c r="B259" i="52"/>
  <c r="B260" i="52"/>
  <c r="B261" i="52"/>
  <c r="B262" i="52"/>
  <c r="B263" i="52"/>
  <c r="B264" i="52"/>
  <c r="B265" i="52"/>
  <c r="B266" i="52"/>
  <c r="B267" i="52"/>
  <c r="B268" i="52"/>
  <c r="B269" i="52"/>
  <c r="B270" i="52"/>
  <c r="B271" i="52"/>
  <c r="B272" i="52"/>
  <c r="B273" i="52"/>
  <c r="B274" i="52"/>
  <c r="B275" i="52"/>
  <c r="B276" i="52"/>
  <c r="B277" i="52"/>
  <c r="B278" i="52"/>
  <c r="B279" i="52"/>
  <c r="B280" i="52"/>
  <c r="B281" i="52"/>
  <c r="B282" i="52"/>
  <c r="B283" i="52"/>
  <c r="B284" i="52"/>
  <c r="B285" i="52"/>
  <c r="B286" i="52"/>
  <c r="B287" i="52"/>
  <c r="B288" i="52"/>
  <c r="B289" i="52"/>
  <c r="B290" i="52"/>
  <c r="B291" i="52"/>
  <c r="B292" i="52"/>
  <c r="B293" i="52"/>
  <c r="B294" i="52"/>
  <c r="B295" i="52"/>
  <c r="B296" i="52"/>
  <c r="B297" i="52"/>
  <c r="B298" i="52"/>
  <c r="B299" i="52"/>
  <c r="B300" i="52"/>
  <c r="B301" i="52"/>
  <c r="B302" i="52"/>
  <c r="B303" i="52"/>
  <c r="B304" i="52"/>
  <c r="B305" i="52"/>
  <c r="B306" i="52"/>
  <c r="B307" i="52"/>
  <c r="B308" i="52"/>
  <c r="B309" i="52"/>
  <c r="B310" i="52"/>
  <c r="B311" i="52"/>
  <c r="B312" i="52"/>
  <c r="B313" i="52"/>
  <c r="B314" i="52"/>
  <c r="B315" i="52"/>
  <c r="B316" i="52"/>
  <c r="B317" i="52"/>
  <c r="B318" i="52"/>
  <c r="B319" i="52"/>
  <c r="B320" i="52"/>
  <c r="B321" i="52"/>
  <c r="B322" i="52"/>
  <c r="B323" i="52"/>
  <c r="B324" i="52"/>
  <c r="B325" i="52"/>
  <c r="B326" i="52"/>
  <c r="B327" i="52"/>
  <c r="B328" i="52"/>
  <c r="B329" i="52"/>
  <c r="B330" i="52"/>
  <c r="B331" i="52"/>
  <c r="B332" i="52"/>
  <c r="B333" i="52"/>
  <c r="B334" i="52"/>
  <c r="B335" i="52"/>
  <c r="B336" i="52"/>
  <c r="B337" i="52"/>
  <c r="B338" i="52"/>
  <c r="B339" i="52"/>
  <c r="B340" i="52"/>
  <c r="B341" i="52"/>
  <c r="B342" i="52"/>
  <c r="B343" i="52"/>
  <c r="B344" i="52"/>
  <c r="B345" i="52"/>
  <c r="B346" i="52"/>
  <c r="B347" i="52"/>
  <c r="B348" i="52"/>
  <c r="B349" i="52"/>
  <c r="B350" i="52"/>
  <c r="B351" i="52"/>
  <c r="B352" i="52"/>
  <c r="B353" i="52"/>
  <c r="B354" i="52"/>
  <c r="B355" i="52"/>
  <c r="B356" i="52"/>
  <c r="B357" i="52"/>
  <c r="B358" i="52"/>
  <c r="B359" i="52"/>
  <c r="B360" i="52"/>
  <c r="B361" i="52"/>
  <c r="B362" i="52"/>
  <c r="B363" i="52"/>
  <c r="B364" i="52"/>
  <c r="B365" i="52"/>
  <c r="B366" i="52"/>
  <c r="B367" i="52"/>
  <c r="B368" i="52"/>
  <c r="B369" i="52"/>
  <c r="B370" i="52"/>
  <c r="B371" i="52"/>
  <c r="B372" i="52"/>
  <c r="B373" i="52"/>
  <c r="B374" i="52"/>
  <c r="B375" i="52"/>
  <c r="B376" i="52"/>
  <c r="B377" i="52"/>
  <c r="B378" i="52"/>
  <c r="B379" i="52"/>
  <c r="B380" i="52"/>
  <c r="B381" i="52"/>
  <c r="B382" i="52"/>
  <c r="B383" i="52"/>
  <c r="B384" i="52"/>
  <c r="B385" i="52"/>
  <c r="B386" i="52"/>
  <c r="B387" i="52"/>
  <c r="B388" i="52"/>
  <c r="B389" i="52"/>
  <c r="B390" i="52"/>
  <c r="B391" i="52"/>
  <c r="B392" i="52"/>
  <c r="B393" i="52"/>
  <c r="B394" i="52"/>
  <c r="B395" i="52"/>
  <c r="B396" i="52"/>
  <c r="B397" i="52"/>
  <c r="B398" i="52"/>
  <c r="B399" i="52"/>
  <c r="B400" i="52"/>
  <c r="B401" i="52"/>
  <c r="B402" i="52"/>
  <c r="B403" i="52"/>
  <c r="B404" i="52"/>
  <c r="B405" i="52"/>
  <c r="B406" i="52"/>
  <c r="B407" i="52"/>
  <c r="B408" i="52"/>
  <c r="B409" i="52"/>
  <c r="B410" i="52"/>
  <c r="B411" i="52"/>
  <c r="B412" i="52"/>
  <c r="B413" i="52"/>
  <c r="B414" i="52"/>
  <c r="B415" i="52"/>
  <c r="B416" i="52"/>
  <c r="B417" i="52"/>
  <c r="B418" i="52"/>
  <c r="B419" i="52"/>
  <c r="B420" i="52"/>
  <c r="B421" i="52"/>
  <c r="B422" i="52"/>
  <c r="B423" i="52"/>
  <c r="B424" i="52"/>
  <c r="B425" i="52"/>
  <c r="B426" i="52"/>
  <c r="B427" i="52"/>
  <c r="B428" i="52"/>
  <c r="B429" i="52"/>
  <c r="B430" i="52"/>
  <c r="B431" i="52"/>
  <c r="B432" i="52"/>
  <c r="B433" i="52"/>
  <c r="B434" i="52"/>
  <c r="B435" i="52"/>
  <c r="B436" i="52"/>
  <c r="B437" i="52"/>
  <c r="B438" i="52"/>
  <c r="B439" i="52"/>
  <c r="B440" i="52"/>
  <c r="B441" i="52"/>
  <c r="B442" i="52"/>
  <c r="B443" i="52"/>
  <c r="B444" i="52"/>
  <c r="B445" i="52"/>
  <c r="B446" i="52"/>
  <c r="B447" i="52"/>
  <c r="B448" i="52"/>
  <c r="B449" i="52"/>
  <c r="B450" i="52"/>
  <c r="B451" i="52"/>
  <c r="B452" i="52"/>
  <c r="B453" i="52"/>
  <c r="B454" i="52"/>
  <c r="B455" i="52"/>
  <c r="B456" i="52"/>
  <c r="B457" i="52"/>
  <c r="B458" i="52"/>
  <c r="B459" i="52"/>
  <c r="B460" i="52"/>
  <c r="B461" i="52"/>
  <c r="B462" i="52"/>
  <c r="B463" i="52"/>
  <c r="B464" i="52"/>
  <c r="B465" i="52"/>
  <c r="B466" i="52"/>
  <c r="B467" i="52"/>
  <c r="B468" i="52"/>
  <c r="B469" i="52"/>
  <c r="B470" i="52"/>
  <c r="B471" i="52"/>
  <c r="B472" i="52"/>
  <c r="B473" i="52"/>
  <c r="B474" i="52"/>
  <c r="B475" i="52"/>
  <c r="B476" i="52"/>
  <c r="B477" i="52"/>
  <c r="B478" i="52"/>
  <c r="B479" i="52"/>
  <c r="B480" i="52"/>
  <c r="B481" i="52"/>
  <c r="B482" i="52"/>
  <c r="B483" i="52"/>
  <c r="B484" i="52"/>
  <c r="B485" i="52"/>
  <c r="B486" i="52"/>
  <c r="B487" i="52"/>
  <c r="B488" i="52"/>
  <c r="B489" i="52"/>
  <c r="B490" i="52"/>
  <c r="B491" i="52"/>
  <c r="B492" i="52"/>
  <c r="B493" i="52"/>
  <c r="B494" i="52"/>
  <c r="B495" i="52"/>
  <c r="B496" i="52"/>
  <c r="B497" i="52"/>
  <c r="B498" i="52"/>
  <c r="B499" i="52"/>
  <c r="B500" i="52"/>
  <c r="B501" i="52"/>
  <c r="B502" i="52"/>
  <c r="B503" i="52"/>
  <c r="B504" i="52"/>
  <c r="B505" i="52"/>
  <c r="B506" i="52"/>
  <c r="B507" i="52"/>
  <c r="B508" i="52"/>
  <c r="B509" i="52"/>
  <c r="B510" i="52"/>
  <c r="B511" i="52"/>
  <c r="B512" i="52"/>
  <c r="B513" i="52"/>
  <c r="B514" i="52"/>
  <c r="B515" i="52"/>
  <c r="B516" i="52"/>
  <c r="B517" i="52"/>
  <c r="B518" i="52"/>
  <c r="B519" i="52"/>
  <c r="B520" i="52"/>
  <c r="B521" i="52"/>
  <c r="B522" i="52"/>
  <c r="B523" i="52"/>
  <c r="B524" i="52"/>
  <c r="B525" i="52"/>
  <c r="B526" i="52"/>
  <c r="B527" i="52"/>
  <c r="B528" i="52"/>
  <c r="B529" i="52"/>
  <c r="B530" i="52"/>
  <c r="B531" i="52"/>
  <c r="B532" i="52"/>
  <c r="B533" i="52"/>
  <c r="B534" i="52"/>
  <c r="B535" i="52"/>
  <c r="B536" i="52"/>
  <c r="B537" i="52"/>
  <c r="B538" i="52"/>
  <c r="B539" i="52"/>
  <c r="B540" i="52"/>
  <c r="B541" i="52"/>
  <c r="B542" i="52"/>
  <c r="B543" i="52"/>
  <c r="B544" i="52"/>
  <c r="B545" i="52"/>
  <c r="B546" i="52"/>
  <c r="B547" i="52"/>
  <c r="B548" i="52"/>
  <c r="B549" i="52"/>
  <c r="B550" i="52"/>
  <c r="B551" i="52"/>
  <c r="B552" i="52"/>
  <c r="B553" i="52"/>
  <c r="B554" i="52"/>
  <c r="B555" i="52"/>
  <c r="B556" i="52"/>
  <c r="B557" i="52"/>
  <c r="B558" i="52"/>
  <c r="B559" i="52"/>
  <c r="B560" i="52"/>
  <c r="B561" i="52"/>
  <c r="B562" i="52"/>
  <c r="B563" i="52"/>
  <c r="B564" i="52"/>
  <c r="B565" i="52"/>
  <c r="B566" i="52"/>
  <c r="B567" i="52"/>
  <c r="B568" i="52"/>
  <c r="B569" i="52"/>
  <c r="B570" i="52"/>
  <c r="B571" i="52"/>
  <c r="B572" i="52"/>
  <c r="B573" i="52"/>
  <c r="B574" i="52"/>
  <c r="B575" i="52"/>
  <c r="B576" i="52"/>
  <c r="B577" i="52"/>
  <c r="B578" i="52"/>
  <c r="B579" i="52"/>
  <c r="B580" i="52"/>
  <c r="B581" i="52"/>
  <c r="B582" i="52"/>
  <c r="B583" i="52"/>
  <c r="B584" i="52"/>
  <c r="B585" i="52"/>
  <c r="B586" i="52"/>
  <c r="B587" i="52"/>
  <c r="B588" i="52"/>
  <c r="B589" i="52"/>
  <c r="B590" i="52"/>
  <c r="B591" i="52"/>
  <c r="B592" i="52"/>
  <c r="B593" i="52"/>
  <c r="B594" i="52"/>
  <c r="B595" i="52"/>
  <c r="B596" i="52"/>
  <c r="B597" i="52"/>
  <c r="B598" i="52"/>
  <c r="B599" i="52"/>
  <c r="B600" i="52"/>
  <c r="B601" i="52"/>
  <c r="B602" i="52"/>
  <c r="B603" i="52"/>
  <c r="B604" i="52"/>
  <c r="B605" i="52"/>
  <c r="B606" i="52"/>
  <c r="B607" i="52"/>
  <c r="B608" i="52"/>
  <c r="B609" i="52"/>
  <c r="B610" i="52"/>
  <c r="B611" i="52"/>
  <c r="B612" i="52"/>
  <c r="B613" i="52"/>
  <c r="B614" i="52"/>
  <c r="B615" i="52"/>
  <c r="B616" i="52"/>
  <c r="B617" i="52"/>
  <c r="B618" i="52"/>
  <c r="B619" i="52"/>
  <c r="B620" i="52"/>
  <c r="B621" i="52"/>
  <c r="B622" i="52"/>
  <c r="B623" i="52"/>
  <c r="B624" i="52"/>
  <c r="B625" i="52"/>
  <c r="B626" i="52"/>
  <c r="B627" i="52"/>
  <c r="B628" i="52"/>
  <c r="B629" i="52"/>
  <c r="B630" i="52"/>
  <c r="B631" i="52"/>
  <c r="B632" i="52"/>
  <c r="B633" i="52"/>
  <c r="B634" i="52"/>
  <c r="B635" i="52"/>
  <c r="B636" i="52"/>
  <c r="B637" i="52"/>
  <c r="B638" i="52"/>
  <c r="B639" i="52"/>
  <c r="B640" i="52"/>
  <c r="B641" i="52"/>
  <c r="B642" i="52"/>
  <c r="B643" i="52"/>
  <c r="B644" i="52"/>
  <c r="B645" i="52"/>
  <c r="B646" i="52"/>
  <c r="B647" i="52"/>
  <c r="B648" i="52"/>
  <c r="B649" i="52"/>
  <c r="B650" i="52"/>
  <c r="B651" i="52"/>
  <c r="B652" i="52"/>
  <c r="B653" i="52"/>
  <c r="B654" i="52"/>
  <c r="B655" i="52"/>
  <c r="B656" i="52"/>
  <c r="B657" i="52"/>
  <c r="B658" i="52"/>
  <c r="B659" i="52"/>
  <c r="B660" i="52"/>
  <c r="B661" i="52"/>
  <c r="B662" i="52"/>
  <c r="B663" i="52"/>
  <c r="B664" i="52"/>
  <c r="B665" i="52"/>
  <c r="B666" i="52"/>
  <c r="B667" i="52"/>
  <c r="B668" i="52"/>
  <c r="B669" i="52"/>
  <c r="B670" i="52"/>
  <c r="B671" i="52"/>
  <c r="B22" i="52"/>
  <c r="B8" i="52" l="1"/>
  <c r="B7" i="52"/>
  <c r="B11" i="46"/>
  <c r="B9" i="52" l="1"/>
  <c r="D3" i="52" s="1"/>
  <c r="A3" i="50" s="1"/>
  <c r="D34" i="45"/>
  <c r="D30" i="45"/>
  <c r="D29" i="45"/>
  <c r="D28" i="45"/>
  <c r="D27" i="45"/>
  <c r="D25" i="45"/>
  <c r="D24" i="45"/>
  <c r="D22" i="45"/>
  <c r="D21" i="45"/>
  <c r="D20" i="45"/>
  <c r="D19" i="45"/>
  <c r="D18" i="45"/>
  <c r="D17" i="45"/>
  <c r="D16" i="45"/>
  <c r="D12" i="45"/>
  <c r="D10" i="45"/>
  <c r="D13" i="44"/>
  <c r="D14" i="44"/>
  <c r="D15" i="44"/>
  <c r="D17" i="44"/>
  <c r="D18" i="44"/>
  <c r="D12" i="44"/>
  <c r="E13" i="44"/>
  <c r="D23" i="45"/>
  <c r="D26" i="45"/>
  <c r="B29" i="45"/>
  <c r="D11" i="45"/>
  <c r="D2" i="52" l="1"/>
  <c r="A2" i="50" s="1"/>
  <c r="D4" i="52"/>
  <c r="A4" i="43" s="1"/>
  <c r="A3" i="46"/>
  <c r="A3" i="44"/>
  <c r="A3" i="40"/>
  <c r="A3" i="47"/>
  <c r="A3" i="48"/>
  <c r="A3" i="13"/>
  <c r="A3" i="41"/>
  <c r="A3" i="43"/>
  <c r="A3" i="42"/>
  <c r="A3" i="45"/>
  <c r="E14" i="44"/>
  <c r="E17" i="44"/>
  <c r="E16" i="44"/>
  <c r="E18" i="44"/>
  <c r="E15" i="44"/>
  <c r="E12" i="44"/>
  <c r="F26" i="42"/>
  <c r="F35" i="46"/>
  <c r="C23" i="45"/>
  <c r="C20" i="45"/>
  <c r="F19" i="46"/>
  <c r="C27" i="45"/>
  <c r="E18" i="45"/>
  <c r="F31" i="46"/>
  <c r="F22" i="46"/>
  <c r="F31" i="41"/>
  <c r="F11" i="40"/>
  <c r="F17" i="40"/>
  <c r="F20" i="40"/>
  <c r="F23" i="40"/>
  <c r="F29" i="40"/>
  <c r="F22" i="41"/>
  <c r="F25" i="41"/>
  <c r="F28" i="41"/>
  <c r="F34" i="41"/>
  <c r="E12" i="43"/>
  <c r="B24" i="45"/>
  <c r="B30" i="45"/>
  <c r="E28" i="45"/>
  <c r="E32" i="47"/>
  <c r="B27" i="45"/>
  <c r="B20" i="45"/>
  <c r="E30" i="45"/>
  <c r="E25" i="47"/>
  <c r="E31" i="47"/>
  <c r="E35" i="47"/>
  <c r="F12" i="42"/>
  <c r="F18" i="42"/>
  <c r="F21" i="42"/>
  <c r="D34" i="44"/>
  <c r="C12" i="45"/>
  <c r="C18" i="45"/>
  <c r="E29" i="47"/>
  <c r="E33" i="47"/>
  <c r="D11" i="46"/>
  <c r="F27" i="42"/>
  <c r="B17" i="45"/>
  <c r="E12" i="45"/>
  <c r="E23" i="47"/>
  <c r="F25" i="46"/>
  <c r="F28" i="46"/>
  <c r="E24" i="47"/>
  <c r="E21" i="47"/>
  <c r="E28" i="13"/>
  <c r="E24" i="13"/>
  <c r="D23" i="44"/>
  <c r="E40" i="13"/>
  <c r="F33" i="40"/>
  <c r="F28" i="42"/>
  <c r="E27" i="47"/>
  <c r="D10" i="44"/>
  <c r="F15" i="40"/>
  <c r="F18" i="40"/>
  <c r="F21" i="40"/>
  <c r="F27" i="40"/>
  <c r="F29" i="41"/>
  <c r="C27" i="44"/>
  <c r="F26" i="40"/>
  <c r="E26" i="44"/>
  <c r="D24" i="44"/>
  <c r="D27" i="44"/>
  <c r="E28" i="47"/>
  <c r="E30" i="13"/>
  <c r="C24" i="45"/>
  <c r="D35" i="44"/>
  <c r="C14" i="44"/>
  <c r="E32" i="13"/>
  <c r="F10" i="41"/>
  <c r="F32" i="41"/>
  <c r="F30" i="46"/>
  <c r="E33" i="44"/>
  <c r="E29" i="44"/>
  <c r="E25" i="44"/>
  <c r="C18" i="44"/>
  <c r="C33" i="44"/>
  <c r="C28" i="45"/>
  <c r="B18" i="44"/>
  <c r="B29" i="44"/>
  <c r="E36" i="44"/>
  <c r="E24" i="44"/>
  <c r="E11" i="41"/>
  <c r="C36" i="44"/>
  <c r="C24" i="44"/>
  <c r="F16" i="40"/>
  <c r="F19" i="40"/>
  <c r="F22" i="40"/>
  <c r="F25" i="40"/>
  <c r="F28" i="40"/>
  <c r="B36" i="44"/>
  <c r="B24" i="44"/>
  <c r="C11" i="41"/>
  <c r="D30" i="44"/>
  <c r="D33" i="44"/>
  <c r="E11" i="46"/>
  <c r="F11" i="48"/>
  <c r="D29" i="44"/>
  <c r="D32" i="44"/>
  <c r="B11" i="41"/>
  <c r="F21" i="46"/>
  <c r="F27" i="46"/>
  <c r="F13" i="46"/>
  <c r="E22" i="47"/>
  <c r="E26" i="47"/>
  <c r="C26" i="45"/>
  <c r="E39" i="47"/>
  <c r="E11" i="43"/>
  <c r="E27" i="45"/>
  <c r="F13" i="48"/>
  <c r="F10" i="42"/>
  <c r="F16" i="42"/>
  <c r="F19" i="42"/>
  <c r="F22" i="42"/>
  <c r="B25" i="45"/>
  <c r="F12" i="48"/>
  <c r="F18" i="46"/>
  <c r="F24" i="46"/>
  <c r="B12" i="45"/>
  <c r="F30" i="42"/>
  <c r="F15" i="41"/>
  <c r="D11" i="41"/>
  <c r="D16" i="44"/>
  <c r="D11" i="44" s="1"/>
  <c r="B27" i="44"/>
  <c r="F17" i="41"/>
  <c r="F14" i="41"/>
  <c r="F23" i="41"/>
  <c r="F26" i="41"/>
  <c r="F35" i="41"/>
  <c r="E16" i="43"/>
  <c r="E20" i="43"/>
  <c r="E24" i="43"/>
  <c r="D36" i="44"/>
  <c r="E24" i="45"/>
  <c r="F17" i="46"/>
  <c r="F20" i="46"/>
  <c r="F23" i="46"/>
  <c r="F26" i="46"/>
  <c r="F29" i="46"/>
  <c r="C12" i="47"/>
  <c r="F24" i="42"/>
  <c r="E20" i="45"/>
  <c r="C15" i="44"/>
  <c r="C30" i="44"/>
  <c r="F21" i="41"/>
  <c r="F24" i="41"/>
  <c r="F27" i="41"/>
  <c r="F30" i="41"/>
  <c r="F33" i="41"/>
  <c r="E17" i="43"/>
  <c r="C21" i="45"/>
  <c r="E29" i="43"/>
  <c r="B21" i="45"/>
  <c r="C11" i="46"/>
  <c r="D12" i="47"/>
  <c r="B15" i="44"/>
  <c r="B30" i="44"/>
  <c r="D40" i="44"/>
  <c r="E30" i="47"/>
  <c r="E34" i="47"/>
  <c r="E17" i="45"/>
  <c r="E21" i="45"/>
  <c r="E29" i="45"/>
  <c r="F11" i="42"/>
  <c r="F17" i="42"/>
  <c r="F20" i="42"/>
  <c r="F23" i="42"/>
  <c r="B26" i="45"/>
  <c r="F29" i="42"/>
  <c r="F10" i="48"/>
  <c r="F34" i="42"/>
  <c r="E34" i="45"/>
  <c r="B16" i="45"/>
  <c r="B18" i="45"/>
  <c r="B22" i="45"/>
  <c r="C16" i="45"/>
  <c r="F25" i="42"/>
  <c r="C22" i="45"/>
  <c r="E22" i="45"/>
  <c r="E26" i="45"/>
  <c r="B19" i="45"/>
  <c r="C19" i="45"/>
  <c r="E19" i="45"/>
  <c r="E23" i="45"/>
  <c r="E25" i="45"/>
  <c r="B23" i="45"/>
  <c r="B28" i="45"/>
  <c r="C11" i="45"/>
  <c r="B10" i="45"/>
  <c r="C10" i="45"/>
  <c r="E10" i="45"/>
  <c r="E11" i="45"/>
  <c r="E34" i="43"/>
  <c r="E35" i="43"/>
  <c r="B34" i="45"/>
  <c r="E27" i="43"/>
  <c r="E25" i="43"/>
  <c r="E30" i="43"/>
  <c r="E16" i="45"/>
  <c r="C30" i="45"/>
  <c r="E26" i="43"/>
  <c r="C29" i="45"/>
  <c r="C17" i="45"/>
  <c r="E22" i="43"/>
  <c r="C25" i="45"/>
  <c r="E21" i="43"/>
  <c r="E19" i="43"/>
  <c r="E18" i="43"/>
  <c r="E28" i="43"/>
  <c r="E23" i="43"/>
  <c r="B11" i="45"/>
  <c r="E10" i="43"/>
  <c r="E40" i="47"/>
  <c r="D11" i="47"/>
  <c r="D13" i="47"/>
  <c r="E16" i="47"/>
  <c r="E17" i="47"/>
  <c r="C13" i="47"/>
  <c r="B13" i="47"/>
  <c r="B11" i="47"/>
  <c r="B12" i="47"/>
  <c r="C11" i="47"/>
  <c r="E14" i="47"/>
  <c r="E15" i="47"/>
  <c r="E10" i="47"/>
  <c r="F12" i="46"/>
  <c r="F10" i="46"/>
  <c r="F39" i="41"/>
  <c r="E40" i="44"/>
  <c r="B31" i="44"/>
  <c r="C22" i="44"/>
  <c r="D22" i="44"/>
  <c r="D25" i="44"/>
  <c r="D28" i="44"/>
  <c r="D31" i="44"/>
  <c r="C32" i="44"/>
  <c r="C26" i="44"/>
  <c r="E35" i="44"/>
  <c r="E27" i="44"/>
  <c r="E23" i="44"/>
  <c r="D26" i="44"/>
  <c r="F12" i="41"/>
  <c r="F13" i="41"/>
  <c r="F16" i="41"/>
  <c r="C17" i="44"/>
  <c r="C13" i="44"/>
  <c r="B17" i="44"/>
  <c r="B13" i="44"/>
  <c r="C16" i="44"/>
  <c r="B40" i="44"/>
  <c r="C25" i="44"/>
  <c r="B28" i="44"/>
  <c r="E31" i="44"/>
  <c r="C31" i="44"/>
  <c r="C23" i="44"/>
  <c r="E28" i="44"/>
  <c r="F24" i="40"/>
  <c r="C28" i="44"/>
  <c r="B32" i="44"/>
  <c r="B23" i="44"/>
  <c r="C35" i="44"/>
  <c r="B35" i="44"/>
  <c r="E34" i="44"/>
  <c r="E30" i="44"/>
  <c r="E22" i="44"/>
  <c r="B25" i="44"/>
  <c r="C34" i="44"/>
  <c r="B26" i="44"/>
  <c r="B22" i="44"/>
  <c r="C12" i="44"/>
  <c r="E10" i="44"/>
  <c r="F10" i="40"/>
  <c r="C10" i="44"/>
  <c r="E41" i="13"/>
  <c r="E16" i="13"/>
  <c r="B16" i="44"/>
  <c r="B11" i="13"/>
  <c r="B12" i="44"/>
  <c r="E17" i="13"/>
  <c r="E14" i="13"/>
  <c r="E10" i="13"/>
  <c r="E13" i="13"/>
  <c r="E34" i="13"/>
  <c r="E32" i="44"/>
  <c r="D11" i="13"/>
  <c r="B10" i="44"/>
  <c r="E29" i="13"/>
  <c r="E33" i="13"/>
  <c r="B34" i="44"/>
  <c r="E12" i="13"/>
  <c r="B33" i="44"/>
  <c r="B14" i="44"/>
  <c r="E31" i="13"/>
  <c r="E18" i="13"/>
  <c r="E36" i="13"/>
  <c r="E26" i="13"/>
  <c r="E22" i="13"/>
  <c r="E25" i="13"/>
  <c r="E15" i="13"/>
  <c r="C11" i="13"/>
  <c r="E35" i="13"/>
  <c r="E23" i="13"/>
  <c r="C29" i="44"/>
  <c r="E27" i="13"/>
  <c r="A2" i="41" l="1"/>
  <c r="A2" i="13"/>
  <c r="A2" i="42"/>
  <c r="A2" i="47"/>
  <c r="A2" i="48"/>
  <c r="A2" i="40"/>
  <c r="A2" i="44"/>
  <c r="A2" i="43"/>
  <c r="A2" i="46"/>
  <c r="A2" i="45"/>
  <c r="A4" i="47"/>
  <c r="A4" i="46"/>
  <c r="A4" i="44"/>
  <c r="A4" i="45"/>
  <c r="A4" i="13"/>
  <c r="A4" i="50"/>
  <c r="A4" i="42"/>
  <c r="A4" i="40"/>
  <c r="A4" i="48"/>
  <c r="A4" i="41"/>
  <c r="F27" i="45"/>
  <c r="F20" i="45"/>
  <c r="F30" i="45"/>
  <c r="F18" i="45"/>
  <c r="F12" i="45"/>
  <c r="F18" i="44"/>
  <c r="F23" i="45"/>
  <c r="F10" i="45"/>
  <c r="F21" i="45"/>
  <c r="F32" i="44"/>
  <c r="F36" i="44"/>
  <c r="F24" i="45"/>
  <c r="F27" i="44"/>
  <c r="F24" i="44"/>
  <c r="F28" i="45"/>
  <c r="F11" i="41"/>
  <c r="F26" i="45"/>
  <c r="F11" i="46"/>
  <c r="F29" i="44"/>
  <c r="F33" i="44"/>
  <c r="F34" i="45"/>
  <c r="F30" i="44"/>
  <c r="F17" i="45"/>
  <c r="F17" i="44"/>
  <c r="E12" i="47"/>
  <c r="F16" i="44"/>
  <c r="F15" i="44"/>
  <c r="F23" i="44"/>
  <c r="F29" i="45"/>
  <c r="F19" i="45"/>
  <c r="F22" i="45"/>
  <c r="F11" i="45"/>
  <c r="F25" i="45"/>
  <c r="F16" i="45"/>
  <c r="E13" i="47"/>
  <c r="E11" i="47"/>
  <c r="F40" i="44"/>
  <c r="F28" i="44"/>
  <c r="F22" i="44"/>
  <c r="F26" i="44"/>
  <c r="F31" i="44"/>
  <c r="C11" i="44"/>
  <c r="F13" i="44"/>
  <c r="F25" i="44"/>
  <c r="F35" i="44"/>
  <c r="F34" i="44"/>
  <c r="F12" i="44"/>
  <c r="F10" i="44"/>
  <c r="B11" i="44"/>
  <c r="E11" i="13"/>
  <c r="F14" i="44"/>
  <c r="E11" i="44"/>
  <c r="F11" i="44" l="1"/>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<sst xmlns="http://schemas.openxmlformats.org/spreadsheetml/2006/main" count="2267" uniqueCount="756">
  <si>
    <t>Emergency</t>
  </si>
  <si>
    <t>Transitional</t>
  </si>
  <si>
    <t>Total</t>
  </si>
  <si>
    <t>Persons and Households</t>
  </si>
  <si>
    <t>Sheltered</t>
  </si>
  <si>
    <t>Unsheltered</t>
  </si>
  <si>
    <t>Total Number of Households</t>
  </si>
  <si>
    <t>Total Number of Persons (Adults &amp; Children)</t>
  </si>
  <si>
    <t>Number of Persons (under age 18)</t>
  </si>
  <si>
    <t>Number of Persons (18 - 24)</t>
  </si>
  <si>
    <t>Number of Persons (25 - 34)</t>
  </si>
  <si>
    <t>Number of Persons (35 - 44)</t>
  </si>
  <si>
    <t>Number of Persons (45 - 54)</t>
  </si>
  <si>
    <t>Number of Persons (55 - 64)</t>
  </si>
  <si>
    <t>Number of Persons (over age 64)</t>
  </si>
  <si>
    <t>Chronically Homeless</t>
  </si>
  <si>
    <t>Total number of households</t>
  </si>
  <si>
    <t>Total number of persons</t>
  </si>
  <si>
    <t>Total Number of Persons</t>
  </si>
  <si>
    <t>Total Number of Persons (Adults)</t>
  </si>
  <si>
    <t>Total Number of Veterans</t>
  </si>
  <si>
    <t>Total number of unaccompanied youth</t>
  </si>
  <si>
    <t>Total Number of unaccompanied youth households</t>
  </si>
  <si>
    <t>Total number of persons in parenting youth households</t>
  </si>
  <si>
    <t>Total number of parenting youth households</t>
  </si>
  <si>
    <t>Total Parenting Youth (youth parents only)</t>
  </si>
  <si>
    <t>Total Children in Parenting Youth Households</t>
  </si>
  <si>
    <t>Adults with a Serious Mental Illness</t>
  </si>
  <si>
    <t>Adults with a Substance Use Disorder</t>
  </si>
  <si>
    <t>Adults with HIV/AIDS</t>
  </si>
  <si>
    <t>Adult Survivors of Domestic Violence (optional)</t>
  </si>
  <si>
    <t>notes</t>
  </si>
  <si>
    <t>updatedOn</t>
  </si>
  <si>
    <t>methodologyUnshelteredSubChangeDescriptionSub</t>
  </si>
  <si>
    <t>methodologyUnshelteredSubChangeOtherSpecifySub</t>
  </si>
  <si>
    <t>methodologyUnshelteredSubChangeOtherSub</t>
  </si>
  <si>
    <t>methodologyUnshelteredSubChangePolicyNaturalFactorsSpecify</t>
  </si>
  <si>
    <t>methodologyUnshelteredSubChangePolicyNaturalFactorsHealth</t>
  </si>
  <si>
    <t>methodologyUnshelteredSubChangePolicyNaturalFactorsDisaster</t>
  </si>
  <si>
    <t>methodologyUnshelteredSubChangePolicyNaturalFactorsWeather</t>
  </si>
  <si>
    <t>methodologyUnshelteredSubChangePolicyNaturalFactors</t>
  </si>
  <si>
    <t>methodologyUnshelteredSubChangePolicyImplementationSpecify</t>
  </si>
  <si>
    <t>methodologyUnshelteredSubChangePolicyImplementation</t>
  </si>
  <si>
    <t>methodologyUnshelteredSubChangeParticipationSpecify</t>
  </si>
  <si>
    <t>methodologyUnshelteredSubChangeParticipation</t>
  </si>
  <si>
    <t>methodologyUnshelteredSubChangeCapacitySpecify</t>
  </si>
  <si>
    <t>methodologyUnshelteredSubChangeCapacity</t>
  </si>
  <si>
    <t>methodologyUnshelteredSubChangePitCountImplementingSpecify</t>
  </si>
  <si>
    <t>methodologyUnshelteredSubChangePitCountImplementingComposition</t>
  </si>
  <si>
    <t>methodologyUnshelteredSubChangePitCountImplementingJurisdiction</t>
  </si>
  <si>
    <t>methodologyUnshelteredSubChangePitCountImplementingVolunteers</t>
  </si>
  <si>
    <t>methodologyUnshelteredSubChangePitCountImplementingTraining</t>
  </si>
  <si>
    <t>methodologyUnshelteredSubChangePitCountImplementingMethod</t>
  </si>
  <si>
    <t>methodologyUnshelteredSubChangePitCountImplementing</t>
  </si>
  <si>
    <t>methodologyUnshelteredSubChangePitCountApproachSpecify</t>
  </si>
  <si>
    <t>methodologyUnshelteredSubChangePitCountApproach</t>
  </si>
  <si>
    <t>methodologyUnshelteredDeduplicateOtherSpecify</t>
  </si>
  <si>
    <t>methodologyUnshelteredDeduplicateOther</t>
  </si>
  <si>
    <t>methodologyUnshelteredDeduplicateNoSpecific</t>
  </si>
  <si>
    <t>methodologyUnshelteredDeduplicateInterview</t>
  </si>
  <si>
    <t>methodologyUnshelteredDeduplicateBlitz</t>
  </si>
  <si>
    <t>methodologyUnshelteredDeduplicateUnique</t>
  </si>
  <si>
    <t>methodologyUnshelteredDeduplicatePii</t>
  </si>
  <si>
    <t>methodologyUnshelteredCovidExcluded</t>
  </si>
  <si>
    <t>methodologyUnshelteredAdjustDescribe</t>
  </si>
  <si>
    <t>methodologyUnshelteredAdjust</t>
  </si>
  <si>
    <t>methodologyUnshelteredExcludedReasonOtherSpecify</t>
  </si>
  <si>
    <t>methodologyUnshelteredExcludedReason</t>
  </si>
  <si>
    <t>methodologyUnshelteredMethodPublicHmisWhatAdminOtherSpecify</t>
  </si>
  <si>
    <t>methodologyUnshelteredMethodPublicHmisWhatAdminOther</t>
  </si>
  <si>
    <t>methodologyUnshelteredMethodPublicHmisWhatAdminStreetOutreach</t>
  </si>
  <si>
    <t>methodologyUnshelteredMethodPublicHmisWhatAdminByName</t>
  </si>
  <si>
    <t>methodologyUnshelteredMethodPublicHmisWhatAdminCes</t>
  </si>
  <si>
    <t>methodologyUnshelteredMethodPublicHmisWhatAdminHmis</t>
  </si>
  <si>
    <t>methodologyUnshelteredMethodPublicHmis</t>
  </si>
  <si>
    <t>methodologyUnshelteredMethodPublicServiceHowLongOtherSpecify</t>
  </si>
  <si>
    <t>methodologyUnshelteredMethodPublicServiceHowLong</t>
  </si>
  <si>
    <t>methodologyUnshelteredMethodPublicServiceWhereOtherSpecify</t>
  </si>
  <si>
    <t>methodologyUnshelteredMethodPublicServiceWhere</t>
  </si>
  <si>
    <t>methodologyUnshelteredMethodPublicServiceBased</t>
  </si>
  <si>
    <t>methodologyUnshelteredMethodPublicNightRandomSampleCanvassingOtherSpecify</t>
  </si>
  <si>
    <t>methodologyUnshelteredMethodPublicNightRandomSampleCanvassingOther</t>
  </si>
  <si>
    <t>methodologyUnshelteredMethodPublicNightRandomSampleCanvassingRepresented</t>
  </si>
  <si>
    <t>methodologyUnshelteredMethodPublicNightRandomSampleCanvassingStratified</t>
  </si>
  <si>
    <t>methodologyUnshelteredMethodPublicNightRandomSampleCanvassingRandom</t>
  </si>
  <si>
    <t>methodologyUnshelteredMethodPublicNightRandomSampleApproachOtherSpecify</t>
  </si>
  <si>
    <t>methodologyUnshelteredMethodPublicNightRandomSampleApproachOther</t>
  </si>
  <si>
    <t>methodologyUnshelteredMethodPublicNightRandomSampleApproachInHouse</t>
  </si>
  <si>
    <t>methodologyUnshelteredMethodPublicNightRandomSampleApproachSamplingTool</t>
  </si>
  <si>
    <t>methodologyUnshelteredMethodPublicNightRandomSampleApproachExternalStat</t>
  </si>
  <si>
    <t>methodologyUnshelteredMethodPublicNightRandomSample</t>
  </si>
  <si>
    <t>methodologyUnshelteredMethodPublicNightKnownLocationsCanvassingOtherSpecify</t>
  </si>
  <si>
    <t>methodologyUnshelteredMethodPublicNightKnownLocationsCanvassingOther</t>
  </si>
  <si>
    <t>methodologyUnshelteredMethodPublicNightKnownLocationsCanvassingFromPriorPIT</t>
  </si>
  <si>
    <t>methodologyUnshelteredMethodPublicNightKnownLocationsCanvassingEffortMade</t>
  </si>
  <si>
    <t>methodologyUnshelteredMethodPublicNightKnownLocations</t>
  </si>
  <si>
    <t>methodologyUnshelteredMethodPublicSubsetMethodOtherSpecify</t>
  </si>
  <si>
    <t>methodologyUnshelteredMethodPublicSubsetMethodOther</t>
  </si>
  <si>
    <t>methodologyUnshelteredMethodPublicNightCompleteCoverEntireGeographyNotGated</t>
  </si>
  <si>
    <t>methodologyUnshelteredMethodPublicNightCompleteCoverEntireGeographyNotUninhabitable</t>
  </si>
  <si>
    <t>methodologyUnshelteredMethodPublicNightCompleteCoverEntireGeographyWeather</t>
  </si>
  <si>
    <t>methodologyUnshelteredMethodPublicNightCompleteCoverEntireGeographyStaffCapacity</t>
  </si>
  <si>
    <t>methodologyUnshelteredMethodPublicNightCompleteCoverEntireGeography</t>
  </si>
  <si>
    <t>methodologyUnshelteredMethodPublicNightComplete</t>
  </si>
  <si>
    <t>methodologyShelteredChangeDescriptionSub</t>
  </si>
  <si>
    <t>methodologyShelteredChangeOtherSpecifySub</t>
  </si>
  <si>
    <t>methodologyShelteredChangeOtherSub</t>
  </si>
  <si>
    <t>methodologyShelteredChangeParticipationProgramsDueCovid19Sub</t>
  </si>
  <si>
    <t>methodologyShelteredChangeCapacityDueCovid19Sub</t>
  </si>
  <si>
    <t>methodologyShelteredChangeWeatherSub</t>
  </si>
  <si>
    <t>methodologyShelteredChangeEconomicSub</t>
  </si>
  <si>
    <t>methodologyShelteredChangeAffordableSub</t>
  </si>
  <si>
    <t>methodologyShelteredChangeHousingFirstSub</t>
  </si>
  <si>
    <t>methodologyShelteredChangeCoordinatedSub</t>
  </si>
  <si>
    <t>methodologyShelteredChangeLandlordSub</t>
  </si>
  <si>
    <t>methodologyShelteredChangeOtherShSub</t>
  </si>
  <si>
    <t>methodologyShelteredChangePshSub</t>
  </si>
  <si>
    <t>methodologyShelteredChangePreventionSub</t>
  </si>
  <si>
    <t>methodologyShelteredChangeRrhSub</t>
  </si>
  <si>
    <t>methodologyShelteredChangeTransitionalSub</t>
  </si>
  <si>
    <t>methodologyShelteredChangeEmergencySub</t>
  </si>
  <si>
    <t>methodologyShelteredChangeGeographicSub</t>
  </si>
  <si>
    <t>methodologyShelteredChangeAwarenessSub</t>
  </si>
  <si>
    <t>methodologyShelteredChangeMoreVolunteersSub</t>
  </si>
  <si>
    <t>methodologyShelteredChangeIncreasedTrainingSub</t>
  </si>
  <si>
    <t>methodologyShelteredChangeParticipationSub</t>
  </si>
  <si>
    <t>methodologyShelteredChangeParticipationGeneralSub</t>
  </si>
  <si>
    <t>methodologyShelteredChangePitCountMethodologySub</t>
  </si>
  <si>
    <t>methodologyShelteredDeduplicateOtherSpecify</t>
  </si>
  <si>
    <t>methodologyShelteredDeduplicateOther</t>
  </si>
  <si>
    <t>methodologyShelteredDeduplicateNoSpecific</t>
  </si>
  <si>
    <t>methodologyShelteredDeduplicateInterview</t>
  </si>
  <si>
    <t>methodologyShelteredDeduplicateBlitz</t>
  </si>
  <si>
    <t>methodologyShelteredDeduplicateUnique</t>
  </si>
  <si>
    <t>methodologyShelteredDeduplicatePii</t>
  </si>
  <si>
    <t>methodologyShelteredAll</t>
  </si>
  <si>
    <t>methodologyShelteredSourcePercentSum</t>
  </si>
  <si>
    <t>methodologyShelteredSourcePercentOther</t>
  </si>
  <si>
    <t>methodologyShelteredSourcePercentObservation</t>
  </si>
  <si>
    <t>methodologyShelteredSourcePercentClientSurveys</t>
  </si>
  <si>
    <t>methodologyShelteredSourcePercentProviderSurveys</t>
  </si>
  <si>
    <t>methodologyShelteredSourcePercentHmis</t>
  </si>
  <si>
    <t>notesAdultVet</t>
  </si>
  <si>
    <t>personAdultCronPersonsUnshelteredVet</t>
  </si>
  <si>
    <t>personAdultWhiteNHVetUnsheltered</t>
  </si>
  <si>
    <t>personAdultWhiteHVetUnsheltered</t>
  </si>
  <si>
    <t>personAdultNativeHawaiianNHVetUnsheltered</t>
  </si>
  <si>
    <t>personAdultNativeHawaiianHVetUnsheltered</t>
  </si>
  <si>
    <t>personAdultMultipleRaceNHVetUnsheltered</t>
  </si>
  <si>
    <t>personAdultMultipleRaceHVetUnsheltered</t>
  </si>
  <si>
    <t>personAdultMENANHVetUnsheltered</t>
  </si>
  <si>
    <t>personAdultMENAHVetUnsheltered</t>
  </si>
  <si>
    <t>personAdultBlackNHVetUnsheltered</t>
  </si>
  <si>
    <t>personAdultBlackHVetUnsheltered</t>
  </si>
  <si>
    <t>personAdultAsianNHVetUnsheltered</t>
  </si>
  <si>
    <t>personAdultAsianHVetUnsheltered</t>
  </si>
  <si>
    <t>personAdultAmericanIndianNHVetUnsheltered</t>
  </si>
  <si>
    <t>personAdultAmericanIndianHVetUnsheltered</t>
  </si>
  <si>
    <t>personAdultHispanicVetUnsheltered</t>
  </si>
  <si>
    <t>personAdultVetVetUnsheltered</t>
  </si>
  <si>
    <t>personAdultVetUnsheltered</t>
  </si>
  <si>
    <t>householdAdultUnshelteredVet</t>
  </si>
  <si>
    <t>personAdultCronPersonsSafeHavenVet</t>
  </si>
  <si>
    <t>personAdultWhiteNHSafeHavenVet</t>
  </si>
  <si>
    <t>personAdultWhiteHSafeHavenVet</t>
  </si>
  <si>
    <t>personAdultNativeHawaiianNHSafeHavenVet</t>
  </si>
  <si>
    <t>personAdultNativeHawaiianHSafeHavenVet</t>
  </si>
  <si>
    <t>personAdultMultipleRaceNHSafeHavenVet</t>
  </si>
  <si>
    <t>personAdultMultipleRaceHSafeHavenVet</t>
  </si>
  <si>
    <t>personAdultMENANHSafeHavenVet</t>
  </si>
  <si>
    <t>personAdultMENAHSafeHavenVet</t>
  </si>
  <si>
    <t>personAdultBlackNHSafeHavenVet</t>
  </si>
  <si>
    <t>personAdultBlackHSafeHavenVet</t>
  </si>
  <si>
    <t>personAdultAsianNHSafeHavenVet</t>
  </si>
  <si>
    <t>personAdultAsianHSafeHavenVet</t>
  </si>
  <si>
    <t>personAdultAmericanIndianNHSafeHavenVet</t>
  </si>
  <si>
    <t>personAdultAmericanIndianHSafeHavenVet</t>
  </si>
  <si>
    <t>personAdultHispanicSafeHavenVet</t>
  </si>
  <si>
    <t>personAdultVetSafeHavenVet</t>
  </si>
  <si>
    <t>personAdultSafeHavenVet</t>
  </si>
  <si>
    <t>householdAdultSafeHavenVet</t>
  </si>
  <si>
    <t>personAdultWhiteNHTransitionalVet</t>
  </si>
  <si>
    <t>personAdultWhiteHTransitionalVet</t>
  </si>
  <si>
    <t>personAdultNativeHawaiianNHTransitionalVet</t>
  </si>
  <si>
    <t>personAdultNativeHawaiianHTransitionalVet</t>
  </si>
  <si>
    <t>personAdultMultipleRaceNHTransitionalVet</t>
  </si>
  <si>
    <t>personAdultMultipleRaceHTransitionalVet</t>
  </si>
  <si>
    <t>personAdultMENANHTransitionalVet</t>
  </si>
  <si>
    <t>personAdultMENAHTransitionalVet</t>
  </si>
  <si>
    <t>personAdultBlackNHTransitionalVet</t>
  </si>
  <si>
    <t>personAdultBlackHTransitionalVet</t>
  </si>
  <si>
    <t>personAdultAsianNHTransitionalVet</t>
  </si>
  <si>
    <t>personAdultAsianHTransitionalVet</t>
  </si>
  <si>
    <t>personAdultAmericanIndianNHTransitionalVet</t>
  </si>
  <si>
    <t>personAdultAmericanIndianHTransitionalVet</t>
  </si>
  <si>
    <t>personAdultHispanicTransitionalVet</t>
  </si>
  <si>
    <t>personAdultVetTransitionalVet</t>
  </si>
  <si>
    <t>personAdultTransitionalVet</t>
  </si>
  <si>
    <t>householdAdultTransitionalVet</t>
  </si>
  <si>
    <t>personAdultCronPersonsEmergencyVet</t>
  </si>
  <si>
    <t>personAdultWhiteNHEmergencyVet</t>
  </si>
  <si>
    <t>personAdultWhiteHEmergencyVet</t>
  </si>
  <si>
    <t>personAdultNativeHawaiianNHEmergencyVet</t>
  </si>
  <si>
    <t>personAdultNativeHawaiianHEmergencyVet</t>
  </si>
  <si>
    <t>personAdultMultipleRaceNHEmergencyVet</t>
  </si>
  <si>
    <t>personAdultMultipleRaceHEmergencyVet</t>
  </si>
  <si>
    <t>personAdultMENANHEmergencyVet</t>
  </si>
  <si>
    <t>personAdultMENAHEmergencyVet</t>
  </si>
  <si>
    <t>personAdultBlackNHEmergencyVet</t>
  </si>
  <si>
    <t>personAdultBlackHEmergencyVet</t>
  </si>
  <si>
    <t>personAdultAsianNHEmergencyVet</t>
  </si>
  <si>
    <t>personAdultAsianHEmergencyVet</t>
  </si>
  <si>
    <t>personAdultAmericanIndianNHEmergencyVet</t>
  </si>
  <si>
    <t>personAdultAmericanIndianHEmergencyVet</t>
  </si>
  <si>
    <t>personAdultHispanicEmergencyVet</t>
  </si>
  <si>
    <t>personAdultVetEmergencyVet</t>
  </si>
  <si>
    <t>personAdultEmergencyVet</t>
  </si>
  <si>
    <t>householdAdultEmergencyVet</t>
  </si>
  <si>
    <t>notesBothVet</t>
  </si>
  <si>
    <t>personBothCronPersonsVetUnsheltered</t>
  </si>
  <si>
    <t>personBothCronHouseholdsVetUnsheltered</t>
  </si>
  <si>
    <t>personBothWhiteNHVetUnsheltered</t>
  </si>
  <si>
    <t>personBothWhiteHVetUnsheltered</t>
  </si>
  <si>
    <t>personBothNativeHawaiianNHVetUnsheltered</t>
  </si>
  <si>
    <t>personBothNativeHawaiianHVetUnsheltered</t>
  </si>
  <si>
    <t>personBothMultipleRaceNHVetUnsheltered</t>
  </si>
  <si>
    <t>personBothMultipleRaceHVetUnsheltered</t>
  </si>
  <si>
    <t>personBothMENANHVetUnsheltered</t>
  </si>
  <si>
    <t>personBothMENAHVetUnsheltered</t>
  </si>
  <si>
    <t>personBothBlackNHVetUnsheltered</t>
  </si>
  <si>
    <t>personBothBlackHVetUnsheltered</t>
  </si>
  <si>
    <t>personBothAsianNHVetUnsheltered</t>
  </si>
  <si>
    <t>personBothAsianHVetUnsheltered</t>
  </si>
  <si>
    <t>personBothAmericanIndianNHVetUnsheltered</t>
  </si>
  <si>
    <t>personBothAmericanIndianHVetUnsheltered</t>
  </si>
  <si>
    <t>personBothHispanicVetUnsheltered</t>
  </si>
  <si>
    <t>personBothVetVetUnsheltered</t>
  </si>
  <si>
    <t>personBothVetUnsheltered</t>
  </si>
  <si>
    <t>householdBothUnshelteredVet</t>
  </si>
  <si>
    <t>personBothWhiteNHTransitionalVet</t>
  </si>
  <si>
    <t>personBothWhiteHTransitionalVet</t>
  </si>
  <si>
    <t>personBothNativeHawaiianNHTransitionalVet</t>
  </si>
  <si>
    <t>personBothNativeHawaiianHTransitionalVet</t>
  </si>
  <si>
    <t>personBothMultipleRaceNHTransitionalVet</t>
  </si>
  <si>
    <t>personBothMultipleRaceHTransitionalVet</t>
  </si>
  <si>
    <t>personBothMENANHTransitionalVet</t>
  </si>
  <si>
    <t>personBothMENAHTransitionalVet</t>
  </si>
  <si>
    <t>personBothBlackNHTransitionalVet</t>
  </si>
  <si>
    <t>personBothBlackHTransitionalVet</t>
  </si>
  <si>
    <t>personBothAsianNHTransitionalVet</t>
  </si>
  <si>
    <t>personBothAsianHTransitionalVet</t>
  </si>
  <si>
    <t>personBothAmericanIndianNHTransitionalVet</t>
  </si>
  <si>
    <t>personBothAmericanIndianHTransitionalVet</t>
  </si>
  <si>
    <t>personBothHispanicTransitionalVet</t>
  </si>
  <si>
    <t>personBothVetTransitionalVet</t>
  </si>
  <si>
    <t>personBothTransitionalVet</t>
  </si>
  <si>
    <t>householdBothTransitionalVet</t>
  </si>
  <si>
    <t>personBothCronPersonsEmergencyVet</t>
  </si>
  <si>
    <t>personBothCronHouseholdsEmergencyVet</t>
  </si>
  <si>
    <t>personBothWhiteNHEmergencyVet</t>
  </si>
  <si>
    <t>personBothWhiteHEmergencyVet</t>
  </si>
  <si>
    <t>personBothNativeHawaiianNHEmergencyVet</t>
  </si>
  <si>
    <t>personBothNativeHawaiianHEmergencyVet</t>
  </si>
  <si>
    <t>personBothMultipleRaceNHEmergencyVet</t>
  </si>
  <si>
    <t>personBothMultipleRaceHEmergencyVet</t>
  </si>
  <si>
    <t>personBothMENANHEmergencyVet</t>
  </si>
  <si>
    <t>personBothMENAHEmergencyVet</t>
  </si>
  <si>
    <t>personBothBlackNHEmergencyVet</t>
  </si>
  <si>
    <t>personBothBlackHEmergencyVet</t>
  </si>
  <si>
    <t>personBothAsianNHEmergencyVet</t>
  </si>
  <si>
    <t>personBothAsianHEmergencyVet</t>
  </si>
  <si>
    <t>personBothAmericanIndianNHEmergencyVet</t>
  </si>
  <si>
    <t>personBothAmericanIndianHEmergencyVet</t>
  </si>
  <si>
    <t>personBothHispanicEmergencyVet</t>
  </si>
  <si>
    <t>personBothVetEmergencyVet</t>
  </si>
  <si>
    <t>personBothEmergencyVet</t>
  </si>
  <si>
    <t>householdBothEmergencyVet</t>
  </si>
  <si>
    <t>notesParentingYouth</t>
  </si>
  <si>
    <t>personParentingYouthCronPersonsUnsheltered</t>
  </si>
  <si>
    <t>personParentingYouthCronHouseholdsUnsheltered</t>
  </si>
  <si>
    <t>personParentingYouthWhiteNHUnsheltered</t>
  </si>
  <si>
    <t>personParentingYouthWhiteHUnsheltered</t>
  </si>
  <si>
    <t>personParentingYouthNativeHawaiianNHUnsheltered</t>
  </si>
  <si>
    <t>personParentingYouthNativeHawaiianHUnsheltered</t>
  </si>
  <si>
    <t>personParentingYouthMultipleRaceNHUnsheltered</t>
  </si>
  <si>
    <t>personParentingYouthMultipleRaceHUnsheltered</t>
  </si>
  <si>
    <t>personParentingYouthMENANHUnsheltered</t>
  </si>
  <si>
    <t>personParentingYouthMENAHUnsheltered</t>
  </si>
  <si>
    <t>personParentingYouthBlackNHUnsheltered</t>
  </si>
  <si>
    <t>personParentingYouthBlackHUnsheltered</t>
  </si>
  <si>
    <t>personParentingYouthAsianNHUnsheltered</t>
  </si>
  <si>
    <t>personParentingYouthAsianHUnsheltered</t>
  </si>
  <si>
    <t>personParentingYouthAmericanIndianNHUnsheltered</t>
  </si>
  <si>
    <t>personParentingYouthAmericanIndianHUnsheltered</t>
  </si>
  <si>
    <t>personParentingYouthHispanicUnsheltered</t>
  </si>
  <si>
    <t>personParentingYouthChildrenParents18To24Unsheltered</t>
  </si>
  <si>
    <t>personParentingYouthChildrenParentsUnder18Unsheltered</t>
  </si>
  <si>
    <t>personParentingYouth18To24Unsheltered</t>
  </si>
  <si>
    <t>personParentingYouthUnder18Unsheltered</t>
  </si>
  <si>
    <t>householdParentingYouthUnsheltered</t>
  </si>
  <si>
    <t>personParentingYouthWhiteNHTransitional</t>
  </si>
  <si>
    <t>personParentingYouthWhiteHTransitional</t>
  </si>
  <si>
    <t>personParentingYouthNativeHawaiianNHTransitional</t>
  </si>
  <si>
    <t>personParentingYouthNativeHawaiianHTransitional</t>
  </si>
  <si>
    <t>personParentingYouthMultipleRaceNHTransitional</t>
  </si>
  <si>
    <t>personParentingYouthMultipleRaceHTransitional</t>
  </si>
  <si>
    <t>personParentingYouthMENANHTransitional</t>
  </si>
  <si>
    <t>personParentingYouthMENAHTransitional</t>
  </si>
  <si>
    <t>personParentingYouthBlackNHTransitional</t>
  </si>
  <si>
    <t>personParentingYouthBlackHTransitional</t>
  </si>
  <si>
    <t>personParentingYouthAsianNHTransitional</t>
  </si>
  <si>
    <t>personParentingYouthAsianHTransitional</t>
  </si>
  <si>
    <t>personParentingYouthAmericanIndianNHTransitional</t>
  </si>
  <si>
    <t>personParentingYouthAmericanIndianHTransitional</t>
  </si>
  <si>
    <t>personParentingYouthHispanicTransitional</t>
  </si>
  <si>
    <t>personParentingYouthChildrenParents18To24Transitional</t>
  </si>
  <si>
    <t>personParentingYouthChildrenParentsUnder18Transitional</t>
  </si>
  <si>
    <t>personParentingYouth18To24Transitional</t>
  </si>
  <si>
    <t>personParentingYouthUnder18Transitional</t>
  </si>
  <si>
    <t>householdParentingYouthTransitional</t>
  </si>
  <si>
    <t>personParentingYouthCronPersonsEmergency</t>
  </si>
  <si>
    <t>personParentingYouthCronHouseholdsEmergency</t>
  </si>
  <si>
    <t>personParentingYouthWhiteNHEmergency</t>
  </si>
  <si>
    <t>personParentingYouthWhiteHEmergency</t>
  </si>
  <si>
    <t>personParentingYouthNativeHawaiianNHEmergency</t>
  </si>
  <si>
    <t>personParentingYouthNativeHawaiianHEmergency</t>
  </si>
  <si>
    <t>personParentingYouthMultipleRaceNHEmergency</t>
  </si>
  <si>
    <t>personParentingYouthMultipleRaceHEmergency</t>
  </si>
  <si>
    <t>personParentingYouthMENANHEmergency</t>
  </si>
  <si>
    <t>personParentingYouthMENAHEmergency</t>
  </si>
  <si>
    <t>personParentingYouthBlackNHEmergency</t>
  </si>
  <si>
    <t>personParentingYouthBlackHEmergency</t>
  </si>
  <si>
    <t>personParentingYouthAsianNHEmergency</t>
  </si>
  <si>
    <t>personParentingYouthAsianHEmergency</t>
  </si>
  <si>
    <t>personParentingYouthAmericanIndianNHEmergency</t>
  </si>
  <si>
    <t>personParentingYouthAmericanIndianHEmergency</t>
  </si>
  <si>
    <t>personParentingYouthHispanicEmergency</t>
  </si>
  <si>
    <t>personParentingYouthChildrenParents18To24Emergency</t>
  </si>
  <si>
    <t>personParentingYouthChildrenParentsUnder18Emergency</t>
  </si>
  <si>
    <t>personParentingYouth18To24Emergency</t>
  </si>
  <si>
    <t>personParentingYouthUnder18Emergency</t>
  </si>
  <si>
    <t>householdParentingYouthEmergency</t>
  </si>
  <si>
    <t>notesYouth</t>
  </si>
  <si>
    <t>personYouthCronPersonsUnsheltered</t>
  </si>
  <si>
    <t>personYouthWhiteNHUnsheltered</t>
  </si>
  <si>
    <t>personYouthWhiteHUnsheltered</t>
  </si>
  <si>
    <t>personYouthNativeHawaiianNHUnsheltered</t>
  </si>
  <si>
    <t>personYouthNativeHawaiianHUnsheltered</t>
  </si>
  <si>
    <t>personYouthMultipleRaceNHUnsheltered</t>
  </si>
  <si>
    <t>personYouthMultipleRaceHUnsheltered</t>
  </si>
  <si>
    <t>personYouthMENANHUnsheltered</t>
  </si>
  <si>
    <t>personYouthMENAHUnsheltered</t>
  </si>
  <si>
    <t>personYouthBlackNHUnsheltered</t>
  </si>
  <si>
    <t>personYouthBlackHUnsheltered</t>
  </si>
  <si>
    <t>personYouthAsianNHUnsheltered</t>
  </si>
  <si>
    <t>personYouthAsianHUnsheltered</t>
  </si>
  <si>
    <t>personYouthAmericanIndianNHUnsheltered</t>
  </si>
  <si>
    <t>personYouthAmericanIndianHUnsheltered</t>
  </si>
  <si>
    <t>personYouthHispanicUnsheltered</t>
  </si>
  <si>
    <t>personYouthUnaccompanied18To24Unsheltered</t>
  </si>
  <si>
    <t>personYouthUnaccompaniedUnder18Unsheltered</t>
  </si>
  <si>
    <t>householdUnaccompaniedYouthUnsheltered</t>
  </si>
  <si>
    <t>personYouthCronPersonsSafeHaven</t>
  </si>
  <si>
    <t>personYouthWhiteNHSafeHaven</t>
  </si>
  <si>
    <t>personYouthWhiteHSafeHaven</t>
  </si>
  <si>
    <t>personYouthNativeHawaiianNHSafeHaven</t>
  </si>
  <si>
    <t>personYouthNativeHawaiianHSafeHaven</t>
  </si>
  <si>
    <t>personYouthMultipleRaceNHSafeHaven</t>
  </si>
  <si>
    <t>personYouthMultipleRaceHSafeHaven</t>
  </si>
  <si>
    <t>personYouthMENANHSafeHaven</t>
  </si>
  <si>
    <t>personYouthMENAHSafeHaven</t>
  </si>
  <si>
    <t>personYouthBlackNHSafeHaven</t>
  </si>
  <si>
    <t>personYouthBlackHSafeHaven</t>
  </si>
  <si>
    <t>personYouthAsianNHSafeHaven</t>
  </si>
  <si>
    <t>personYouthAsianHSafeHaven</t>
  </si>
  <si>
    <t>personYouthAmericanIndianNHSafeHaven</t>
  </si>
  <si>
    <t>personYouthAmericanIndianHSafeHaven</t>
  </si>
  <si>
    <t>personYouthHispanicSafeHaven</t>
  </si>
  <si>
    <t>personYouthUnaccompanied18To24SafeHaven</t>
  </si>
  <si>
    <t>personYouthUnaccompaniedUnder18SafeHaven</t>
  </si>
  <si>
    <t>householdUnaccompaniedYouthSafeHaven</t>
  </si>
  <si>
    <t>personYouthWhiteNHTransitional</t>
  </si>
  <si>
    <t>personYouthWhiteHTransitional</t>
  </si>
  <si>
    <t>personYouthNativeHawaiianNHTransitional</t>
  </si>
  <si>
    <t>personYouthNativeHawaiianHTransitional</t>
  </si>
  <si>
    <t>personYouthMultipleRaceNHTransitional</t>
  </si>
  <si>
    <t>personYouthMultipleRaceHTransitional</t>
  </si>
  <si>
    <t>personYouthMENANHTransitional</t>
  </si>
  <si>
    <t>personYouthMENAHTransitional</t>
  </si>
  <si>
    <t>personYouthBlackNHTransitional</t>
  </si>
  <si>
    <t>personYouthBlackHTransitional</t>
  </si>
  <si>
    <t>personYouthAsianNHTransitional</t>
  </si>
  <si>
    <t>personYouthAsianHTransitional</t>
  </si>
  <si>
    <t>personYouthAmericanIndianNHTransitional</t>
  </si>
  <si>
    <t>personYouthAmericanIndianHTransitional</t>
  </si>
  <si>
    <t>personYouthHispanicTransitional</t>
  </si>
  <si>
    <t>personYouthUnaccompanied18To24Transitional</t>
  </si>
  <si>
    <t>personYouthUnaccompaniedUnder18Transitional</t>
  </si>
  <si>
    <t>householdUnaccompaniedYouthTransitional</t>
  </si>
  <si>
    <t>personYouthCronPersonsEmergency</t>
  </si>
  <si>
    <t>personYouthWhiteNHEmergency</t>
  </si>
  <si>
    <t>personYouthWhiteHEmergency</t>
  </si>
  <si>
    <t>personYouthNativeHawaiianNHEmergency</t>
  </si>
  <si>
    <t>personYouthNativeHawaiianHEmergency</t>
  </si>
  <si>
    <t>personYouthMultipleRaceNHEmergency</t>
  </si>
  <si>
    <t>personYouthMultipleRaceHEmergency</t>
  </si>
  <si>
    <t>personYouthMENANHEmergency</t>
  </si>
  <si>
    <t>personYouthMENAHEmergency</t>
  </si>
  <si>
    <t>personYouthBlackNHEmergency</t>
  </si>
  <si>
    <t>personYouthBlackHEmergency</t>
  </si>
  <si>
    <t>personYouthAsianNHEmergency</t>
  </si>
  <si>
    <t>personYouthAsianHEmergency</t>
  </si>
  <si>
    <t>personYouthAmericanIndianNHEmergency</t>
  </si>
  <si>
    <t>personYouthAmericanIndianHEmergency</t>
  </si>
  <si>
    <t>personYouthHispanicEmergency</t>
  </si>
  <si>
    <t>personYouthUnaccompanied18To24Emergency</t>
  </si>
  <si>
    <t>personYouthUnaccompaniedUnder18Emergency</t>
  </si>
  <si>
    <t>householdUnaccompaniedYouthEmergency</t>
  </si>
  <si>
    <t>notesAdditionalHomeless</t>
  </si>
  <si>
    <t>domesticViolenceVictimsUnsheltered</t>
  </si>
  <si>
    <t>hivAidsUnsheltered</t>
  </si>
  <si>
    <t>chronicSubstanceAbuseUnsheltered</t>
  </si>
  <si>
    <t>severelyMentallyIllUnsheltered</t>
  </si>
  <si>
    <t>domesticViolenceVictimsSafeHaven</t>
  </si>
  <si>
    <t>hivAidsSafeHaven</t>
  </si>
  <si>
    <t>chronicSubstanceAbuseSafeHaven</t>
  </si>
  <si>
    <t>severelyMentallyIllSafeHaven</t>
  </si>
  <si>
    <t>domesticViolenceVictimsTransitional</t>
  </si>
  <si>
    <t>hivAidsTransitional</t>
  </si>
  <si>
    <t>chronicSubstanceAbuseTransitional</t>
  </si>
  <si>
    <t>severelyMentallyIllTransitional</t>
  </si>
  <si>
    <t>domesticViolenceVictimsEmergency</t>
  </si>
  <si>
    <t>hivAidsEmergency</t>
  </si>
  <si>
    <t>chronicSubstanceAbuseEmergency</t>
  </si>
  <si>
    <t>severelyMentallyIllEmergency</t>
  </si>
  <si>
    <t>notesAdult</t>
  </si>
  <si>
    <t>personAdultCronPersonsUnsheltered</t>
  </si>
  <si>
    <t>personAdultWhiteNHUnsheltered</t>
  </si>
  <si>
    <t>personAdultWhiteHUnsheltered</t>
  </si>
  <si>
    <t>personAdultNativeHawaiianNHUnsheltered</t>
  </si>
  <si>
    <t>personAdultNativeHawaiianHUnsheltered</t>
  </si>
  <si>
    <t>personAdultMultipleRaceNHUnsheltered</t>
  </si>
  <si>
    <t>personAdultMultipleRaceHUnsheltered</t>
  </si>
  <si>
    <t>personAdultMENANHUnsheltered</t>
  </si>
  <si>
    <t>personAdultMENAHUnsheltered</t>
  </si>
  <si>
    <t>personAdultBlackNHUnsheltered</t>
  </si>
  <si>
    <t>personAdultBlackHUnsheltered</t>
  </si>
  <si>
    <t>personAdultAsianNHUnsheltered</t>
  </si>
  <si>
    <t>personAdultAsianHUnsheltered</t>
  </si>
  <si>
    <t>personAdultAmericanIndianNHUnsheltered</t>
  </si>
  <si>
    <t>personAdultAmericanIndianHUnsheltered</t>
  </si>
  <si>
    <t>personAdultHispanicUnsheltered</t>
  </si>
  <si>
    <t>personAdultOver64Unsheltered</t>
  </si>
  <si>
    <t>personAdult55To64Unsheltered</t>
  </si>
  <si>
    <t>personAdult45To54Unsheltered</t>
  </si>
  <si>
    <t>personAdult35To44Unsheltered</t>
  </si>
  <si>
    <t>personAdult25To34Unsheltered</t>
  </si>
  <si>
    <t>personAdult18To24Unsheltered</t>
  </si>
  <si>
    <t>householdAdultUnsheltered</t>
  </si>
  <si>
    <t>personAdultCronPersonsSafeHaven</t>
  </si>
  <si>
    <t>personAdultWhiteNHSafeHaven</t>
  </si>
  <si>
    <t>personAdultWhiteHSafeHaven</t>
  </si>
  <si>
    <t>personAdultNativeHawaiianNHSafeHaven</t>
  </si>
  <si>
    <t>personAdultNativeHawaiianHSafeHaven</t>
  </si>
  <si>
    <t>personAdultMultipleRaceNHSafeHaven</t>
  </si>
  <si>
    <t>personAdultMultipleRaceHSafeHaven</t>
  </si>
  <si>
    <t>personAdultMENANHSafeHaven</t>
  </si>
  <si>
    <t>personAdultMENAHSafeHaven</t>
  </si>
  <si>
    <t>personAdultBlackNHSafeHaven</t>
  </si>
  <si>
    <t>personAdultBlackHSafeHaven</t>
  </si>
  <si>
    <t>personAdultAsianNHSafeHaven</t>
  </si>
  <si>
    <t>personAdultAsianHSafeHaven</t>
  </si>
  <si>
    <t>personAdultAmericanIndianNHSafeHaven</t>
  </si>
  <si>
    <t>personAdultAmericanIndianHSafeHaven</t>
  </si>
  <si>
    <t>personAdultHispanicSafeHaven</t>
  </si>
  <si>
    <t>personAdultOver64SafeHaven</t>
  </si>
  <si>
    <t>personAdult55To64SafeHaven</t>
  </si>
  <si>
    <t>personAdult45To54SafeHaven</t>
  </si>
  <si>
    <t>personAdult35To44SafeHaven</t>
  </si>
  <si>
    <t>personAdult25To34SafeHaven</t>
  </si>
  <si>
    <t>personAdult18To24SafeHaven</t>
  </si>
  <si>
    <t>householdAdultSafeHaven</t>
  </si>
  <si>
    <t>personAdultWhiteNHTransitional</t>
  </si>
  <si>
    <t>personAdultWhiteHTransitional</t>
  </si>
  <si>
    <t>personAdultNativeHawaiianNHTransitional</t>
  </si>
  <si>
    <t>personAdultNativeHawaiianHTransitional</t>
  </si>
  <si>
    <t>personAdultMultipleRaceNHTransitional</t>
  </si>
  <si>
    <t>personAdultMultipleRaceHTransitional</t>
  </si>
  <si>
    <t>personAdultMENANHTransitional</t>
  </si>
  <si>
    <t>personAdultMENAHTransitional</t>
  </si>
  <si>
    <t>personAdultBlackNHTransitional</t>
  </si>
  <si>
    <t>personAdultBlackHTransitional</t>
  </si>
  <si>
    <t>personAdultAsianNHTransitional</t>
  </si>
  <si>
    <t>personAdultAsianHTransitional</t>
  </si>
  <si>
    <t>personAdultAmericanIndianNHTransitional</t>
  </si>
  <si>
    <t>personAdultAmericanIndianHTransitional</t>
  </si>
  <si>
    <t>personAdultHispanicTransitional</t>
  </si>
  <si>
    <t>personAdultOver64Transitional</t>
  </si>
  <si>
    <t>personAdult55To64Transitional</t>
  </si>
  <si>
    <t>personAdult45To54Transitional</t>
  </si>
  <si>
    <t>personAdult35To44Transitional</t>
  </si>
  <si>
    <t>personAdult25To34Transitional</t>
  </si>
  <si>
    <t>personAdult18To24Transitional</t>
  </si>
  <si>
    <t>householdAdultTransitional</t>
  </si>
  <si>
    <t>personAdultCronPersonsEmergency</t>
  </si>
  <si>
    <t>personAdultWhiteNHEmergency</t>
  </si>
  <si>
    <t>personAdultWhiteHEmergency</t>
  </si>
  <si>
    <t>personAdultNativeHawaiianNHEmergency</t>
  </si>
  <si>
    <t>personAdultNativeHawaiianHEmergency</t>
  </si>
  <si>
    <t>personAdultMultipleRaceNHEmergency</t>
  </si>
  <si>
    <t>personAdultMultipleRaceHEmergency</t>
  </si>
  <si>
    <t>personAdultMENANHEmergency</t>
  </si>
  <si>
    <t>personAdultMENAHEmergency</t>
  </si>
  <si>
    <t>personAdultBlackNHEmergency</t>
  </si>
  <si>
    <t>personAdultBlackHEmergency</t>
  </si>
  <si>
    <t>personAdultAsianNHEmergency</t>
  </si>
  <si>
    <t>personAdultAsianHEmergency</t>
  </si>
  <si>
    <t>personAdultAmericanIndianNHEmergency</t>
  </si>
  <si>
    <t>personAdultAmericanIndianHEmergency</t>
  </si>
  <si>
    <t>personAdultHispanicEmergency</t>
  </si>
  <si>
    <t>personAdultOver64Emergency</t>
  </si>
  <si>
    <t>personAdult55To64Emergency</t>
  </si>
  <si>
    <t>personAdult45To54Emergency</t>
  </si>
  <si>
    <t>personAdult35To44Emergency</t>
  </si>
  <si>
    <t>personAdult25To34Emergency</t>
  </si>
  <si>
    <t>personAdult18To24Emergency</t>
  </si>
  <si>
    <t>householdAdultEmergency</t>
  </si>
  <si>
    <t>notesChild</t>
  </si>
  <si>
    <t>personChildCronPersonsUnsheltered</t>
  </si>
  <si>
    <t>personChildWhiteNHUnsheltered</t>
  </si>
  <si>
    <t>personChildWhiteHUnsheltered</t>
  </si>
  <si>
    <t>personChildNativeHawaiianNHUnsheltered</t>
  </si>
  <si>
    <t>personChildNativeHawaiianHUnsheltered</t>
  </si>
  <si>
    <t>personChildMultipleRaceNHUnsheltered</t>
  </si>
  <si>
    <t>personChildMultipleRaceHUnsheltered</t>
  </si>
  <si>
    <t>personChildMENANHUnsheltered</t>
  </si>
  <si>
    <t>personChildMENAHUnsheltered</t>
  </si>
  <si>
    <t>personChildBlackNHUnsheltered</t>
  </si>
  <si>
    <t>personChildBlackHUnsheltered</t>
  </si>
  <si>
    <t>personChildAsianNHUnsheltered</t>
  </si>
  <si>
    <t>personChildAsianHUnsheltered</t>
  </si>
  <si>
    <t>personChildAmericanIndianNHUnsheltered</t>
  </si>
  <si>
    <t>personChildAmericanIndianHUnsheltered</t>
  </si>
  <si>
    <t>personChildHispanicUnsheltered</t>
  </si>
  <si>
    <t>personChildUnsheltered</t>
  </si>
  <si>
    <t>householdChildUnsheltered</t>
  </si>
  <si>
    <t>personChildCronPersonsSafeHaven</t>
  </si>
  <si>
    <t>personChildWhiteNHSafeHaven</t>
  </si>
  <si>
    <t>personChildWhiteHSafeHaven</t>
  </si>
  <si>
    <t>personChildNativeHawaiianNHSafeHaven</t>
  </si>
  <si>
    <t>personChildNativeHawaiianHSafeHaven</t>
  </si>
  <si>
    <t>personChildMultipleRaceNHSafeHaven</t>
  </si>
  <si>
    <t>personChildMultipleRaceHSafeHaven</t>
  </si>
  <si>
    <t>personChildMENANHSafeHaven</t>
  </si>
  <si>
    <t>personChildMENAHSafeHaven</t>
  </si>
  <si>
    <t>personChildBlackNHSafeHaven</t>
  </si>
  <si>
    <t>personChildBlackHSafeHaven</t>
  </si>
  <si>
    <t>personChildAsianNHSafeHaven</t>
  </si>
  <si>
    <t>personChildAsianHSafeHaven</t>
  </si>
  <si>
    <t>personChildAmericanIndianNHSafeHaven</t>
  </si>
  <si>
    <t>personChildAmericanIndianHSafeHaven</t>
  </si>
  <si>
    <t>personChildHispanicSafeHaven</t>
  </si>
  <si>
    <t>personChildSafeHaven</t>
  </si>
  <si>
    <t>householdChildSafeHaven</t>
  </si>
  <si>
    <t>personChildWhiteNHTransitional</t>
  </si>
  <si>
    <t>personChildWhiteHTransitional</t>
  </si>
  <si>
    <t>personChildNativeHawaiianNHTransitional</t>
  </si>
  <si>
    <t>personChildNativeHawaiianHTransitional</t>
  </si>
  <si>
    <t>personChildMultipleRaceNHTransitional</t>
  </si>
  <si>
    <t>personChildMultipleRaceHTransitional</t>
  </si>
  <si>
    <t>personChildMENANHTransitional</t>
  </si>
  <si>
    <t>personChildMENAHTransitional</t>
  </si>
  <si>
    <t>personChildBlackNHTransitional</t>
  </si>
  <si>
    <t>personChildBlackHTransitional</t>
  </si>
  <si>
    <t>personChildAsianNHTransitional</t>
  </si>
  <si>
    <t>personChildAsianHTransitional</t>
  </si>
  <si>
    <t>personChildAmericanIndianNHTransitional</t>
  </si>
  <si>
    <t>personChildAmericanIndianHTransitional</t>
  </si>
  <si>
    <t>personChildHispanicTransitional</t>
  </si>
  <si>
    <t>personChildTransitional</t>
  </si>
  <si>
    <t>householdChildTransitional</t>
  </si>
  <si>
    <t>personChildCronPersonsEmergency</t>
  </si>
  <si>
    <t>personChildWhiteNHEmergency</t>
  </si>
  <si>
    <t>personChildWhiteHEmergency</t>
  </si>
  <si>
    <t>personChildNativeHawaiianNHEmergency</t>
  </si>
  <si>
    <t>personChildNativeHawaiianHEmergency</t>
  </si>
  <si>
    <t>personChildMultipleRaceNHEmergency</t>
  </si>
  <si>
    <t>personChildMultipleRaceHEmergency</t>
  </si>
  <si>
    <t>personChildMENANHEmergency</t>
  </si>
  <si>
    <t>personChildMENAHEmergency</t>
  </si>
  <si>
    <t>personChildBlackNHEmergency</t>
  </si>
  <si>
    <t>personChildBlackHEmergency</t>
  </si>
  <si>
    <t>personChildAsianNHEmergency</t>
  </si>
  <si>
    <t>personChildAsianHEmergency</t>
  </si>
  <si>
    <t>personChildAmericanIndianNHEmergency</t>
  </si>
  <si>
    <t>personChildAmericanIndianHEmergency</t>
  </si>
  <si>
    <t>personChildHispanicEmergency</t>
  </si>
  <si>
    <t>personChildEmergency</t>
  </si>
  <si>
    <t>householdChildEmergency</t>
  </si>
  <si>
    <t>notesBoth</t>
  </si>
  <si>
    <t>personBothCronPersonsUnsheltered</t>
  </si>
  <si>
    <t>personBothCronHouseholdsUnsheltered</t>
  </si>
  <si>
    <t>personBothWhiteNHUnsheltered</t>
  </si>
  <si>
    <t>personBothWhiteHUnsheltered</t>
  </si>
  <si>
    <t>personBothNativeHawaiianNHUnsheltered</t>
  </si>
  <si>
    <t>personBothNativeHawaiianHUnsheltered</t>
  </si>
  <si>
    <t>personBothMultipleRaceNHUnsheltered</t>
  </si>
  <si>
    <t>personBothMultipleRaceHUnsheltered</t>
  </si>
  <si>
    <t>personBothMENANHUnsheltered</t>
  </si>
  <si>
    <t>personBothMENAHUnsheltered</t>
  </si>
  <si>
    <t>personBothBlackNHUnsheltered</t>
  </si>
  <si>
    <t>personBothBlackHUnsheltered</t>
  </si>
  <si>
    <t>personBothAsianNHUnsheltered</t>
  </si>
  <si>
    <t>personBothAsianHUnsheltered</t>
  </si>
  <si>
    <t>personBothAmericanIndianNHUnsheltered</t>
  </si>
  <si>
    <t>personBothAmericanIndianHUnsheltered</t>
  </si>
  <si>
    <t>personBothHispanicUnsheltered</t>
  </si>
  <si>
    <t>personBothOver64Unsheltered</t>
  </si>
  <si>
    <t>personBoth55To64Unsheltered</t>
  </si>
  <si>
    <t>personBoth45To54Unsheltered</t>
  </si>
  <si>
    <t>personBoth35To44Unsheltered</t>
  </si>
  <si>
    <t>personBoth25To34Unsheltered</t>
  </si>
  <si>
    <t>personBoth18To24Unsheltered</t>
  </si>
  <si>
    <t>personBothUnder18Unsheltered</t>
  </si>
  <si>
    <t>householdBothUnsheltered</t>
  </si>
  <si>
    <t>personBothWhiteNHTransitional</t>
  </si>
  <si>
    <t>personBothWhiteHTransitional</t>
  </si>
  <si>
    <t>personBothNativeHawaiianNHTransitional</t>
  </si>
  <si>
    <t>personBothNativeHawaiianHTransitional</t>
  </si>
  <si>
    <t>personBothMultipleRaceNHTransitional</t>
  </si>
  <si>
    <t>personBothMultipleRaceHTransitional</t>
  </si>
  <si>
    <t>personBothMENANHTransitional</t>
  </si>
  <si>
    <t>personBothMENAHTransitional</t>
  </si>
  <si>
    <t>personBothBlackNHTransitional</t>
  </si>
  <si>
    <t>personBothBlackHTransitional</t>
  </si>
  <si>
    <t>personBothAsianNHTransitional</t>
  </si>
  <si>
    <t>personBothAsianHTransitional</t>
  </si>
  <si>
    <t>personBothAmericanIndianNHTransitional</t>
  </si>
  <si>
    <t>personBothAmericanIndianHTransitional</t>
  </si>
  <si>
    <t>personBothHispanicTransitional</t>
  </si>
  <si>
    <t>personBothOver64Transitional</t>
  </si>
  <si>
    <t>personBoth55To64Transitional</t>
  </si>
  <si>
    <t>personBoth45To54Transitional</t>
  </si>
  <si>
    <t>personBoth35To44Transitional</t>
  </si>
  <si>
    <t>personBoth25To34Transitional</t>
  </si>
  <si>
    <t>personBoth18To24Transitional</t>
  </si>
  <si>
    <t>personBothUnder18Transitional</t>
  </si>
  <si>
    <t>householdBothTransitional</t>
  </si>
  <si>
    <t>personBothCronPersonsEmergency</t>
  </si>
  <si>
    <t>personBothCronHouseholdsEmergency</t>
  </si>
  <si>
    <t>personBothWhiteNHEmergency</t>
  </si>
  <si>
    <t>personBothWhiteHEmergency</t>
  </si>
  <si>
    <t>personBothNativeHawaiianNHEmergency</t>
  </si>
  <si>
    <t>personBothNativeHawaiianHEmergency</t>
  </si>
  <si>
    <t>personBothMultipleRaceNHEmergency</t>
  </si>
  <si>
    <t>personBothMultipleRaceHEmergency</t>
  </si>
  <si>
    <t>personBothMENANHEmergency</t>
  </si>
  <si>
    <t>personBothMENAHEmergency</t>
  </si>
  <si>
    <t>personBothBlackNHEmergency</t>
  </si>
  <si>
    <t>personBothBlackHEmergency</t>
  </si>
  <si>
    <t>personBothAsianNHEmergency</t>
  </si>
  <si>
    <t>personBothAsianHEmergency</t>
  </si>
  <si>
    <t>personBothAmericanIndianNHEmergency</t>
  </si>
  <si>
    <t>personBothAmericanIndianHEmergency</t>
  </si>
  <si>
    <t>personBothHispanicEmergency</t>
  </si>
  <si>
    <t>personBothOver64Emergency</t>
  </si>
  <si>
    <t>personBoth55To64Emergency</t>
  </si>
  <si>
    <t>personBoth45To54Emergency</t>
  </si>
  <si>
    <t>personBoth35To44Emergency</t>
  </si>
  <si>
    <t>personBoth25To34Emergency</t>
  </si>
  <si>
    <t>personBoth18To24Emergency</t>
  </si>
  <si>
    <t>personBothUnder18Emergency</t>
  </si>
  <si>
    <t>householdBothEmergency</t>
  </si>
  <si>
    <t>Populations</t>
  </si>
  <si>
    <t>Date of Count</t>
  </si>
  <si>
    <t>submittedOn</t>
  </si>
  <si>
    <t>year</t>
  </si>
  <si>
    <t>Status</t>
  </si>
  <si>
    <t>HudNum</t>
  </si>
  <si>
    <t>CoC</t>
  </si>
  <si>
    <t>State</t>
  </si>
  <si>
    <t>Veterans Subpopulation: Veteran Households with at least one Adult and one Child ("Vets AC")</t>
  </si>
  <si>
    <t>Youth Subpopulation: Unaccompanied Youth Households ("Youth UY")</t>
  </si>
  <si>
    <t>Youth Subpopulation: Parenting Youth Households ("Youth PY")</t>
  </si>
  <si>
    <t>Additional Homeless Populations</t>
  </si>
  <si>
    <t>Number of parenting youth (under 18)</t>
  </si>
  <si>
    <t>Number of unaccompanied children (under 18)</t>
  </si>
  <si>
    <t>Number of Persons (under 18)</t>
  </si>
  <si>
    <t>Number of Persons (over 64)</t>
  </si>
  <si>
    <t>Total Number of Children (under 18)</t>
  </si>
  <si>
    <t>Number of Persons (over  64)</t>
  </si>
  <si>
    <t>Number of parenting youth (18 - 24)</t>
  </si>
  <si>
    <t>All Persons: Persons in Households with at least one Adult and one Child ("AC")</t>
  </si>
  <si>
    <t>All Persons: Persons in Households with only Children ("CO")</t>
  </si>
  <si>
    <t>Race/Ethnicity (Adults and Children)</t>
  </si>
  <si>
    <t>All Persons: Persons in Households wth Adults Only ("AO")</t>
  </si>
  <si>
    <t>All Persons, TOTALS</t>
  </si>
  <si>
    <t>N/A</t>
  </si>
  <si>
    <t>American Indian, Alaska Native, or Indigenous (only)</t>
  </si>
  <si>
    <t>American Indian, Alaska Native, or Indigenous &amp; Hispanic/Latina/e/o</t>
  </si>
  <si>
    <t>Asian or Asian American (only)</t>
  </si>
  <si>
    <t>Asian or Asian American &amp; Hispanic/Latina/e/o</t>
  </si>
  <si>
    <t>Black, African American, or African (only)</t>
  </si>
  <si>
    <t>Black, African American, or African &amp; Hispanic/Latina/e/o</t>
  </si>
  <si>
    <t>Hispanic/Latina/e/o (only)</t>
  </si>
  <si>
    <t>Middle Eastern or North African (only)</t>
  </si>
  <si>
    <t>Middle Eastern or North African &amp; Hispanic/Latina/e/o</t>
  </si>
  <si>
    <t>Native Hawaiian or Pacific Islander (only)</t>
  </si>
  <si>
    <t>Native Hawaiian or Pacific Islander &amp; Hispanic/Latina/e/o</t>
  </si>
  <si>
    <t>White (only)</t>
  </si>
  <si>
    <t>White &amp; Hispanic/Latina/e/o</t>
  </si>
  <si>
    <t>Multi-Racial &amp; Hispanic/Latina/e/o</t>
  </si>
  <si>
    <t>Multi-Racial (all other)</t>
  </si>
  <si>
    <t>Race/Ethnicity</t>
  </si>
  <si>
    <t xml:space="preserve">Race/Ethnicity </t>
  </si>
  <si>
    <t>Race/Ethnicity (Youth Parents Only)</t>
  </si>
  <si>
    <t>Race/Ethnicity (Veterans only)</t>
  </si>
  <si>
    <t>Race/Ethnicity (Veterans Only)</t>
  </si>
  <si>
    <t>Persons (Adults Only)</t>
  </si>
  <si>
    <t>Safe Haven</t>
  </si>
  <si>
    <t>Number of unaccompanied youth (18 - 24)</t>
  </si>
  <si>
    <t>Children in households with parenting youth under 18 
(children under age 18 with parents under 18)</t>
  </si>
  <si>
    <t>Children in households with parenting youth 18 - 24
(children under age 18 with parents age 18 to 24)</t>
  </si>
  <si>
    <t>Veterans Subpopulation: Veteran Persons in Adult Only Households ("Vets AO")</t>
  </si>
  <si>
    <t>Note on this Template</t>
  </si>
  <si>
    <t>ALL Veterans, TOTALS</t>
  </si>
  <si>
    <t>PIT Summary Report</t>
  </si>
  <si>
    <t>How To Populate This Template</t>
  </si>
  <si>
    <t>Additional Notes</t>
  </si>
  <si>
    <t>Filename:</t>
  </si>
  <si>
    <t>Produced:</t>
  </si>
  <si>
    <t>Count of Expected Variables</t>
  </si>
  <si>
    <t>Unique Count of Pasted Variables in RawData</t>
  </si>
  <si>
    <t>Total Count of Pasted Variables in RawData</t>
  </si>
  <si>
    <t>Unique Count Matches Expected Count</t>
  </si>
  <si>
    <t>Total Pasted Count Matches Expected Count</t>
  </si>
  <si>
    <t>Count Of Instances in Pasted Data</t>
  </si>
  <si>
    <t>Index In Pasted Data</t>
  </si>
  <si>
    <t>All Reference Fields Have Text</t>
  </si>
  <si>
    <t>All Reference Fields Not Errors</t>
  </si>
  <si>
    <t>Expected Variables In Raw Export</t>
  </si>
  <si>
    <t>Show Headings Section</t>
  </si>
  <si>
    <t>Value</t>
  </si>
  <si>
    <t>Page</t>
  </si>
  <si>
    <t>MetadataFIeld</t>
  </si>
  <si>
    <t>All_AC</t>
  </si>
  <si>
    <t>All_CO</t>
  </si>
  <si>
    <t>All_AO</t>
  </si>
  <si>
    <t>Youth_UY</t>
  </si>
  <si>
    <t>Youth_Py</t>
  </si>
  <si>
    <t>Vets_AC</t>
  </si>
  <si>
    <t>Vets_AO</t>
  </si>
  <si>
    <t>AdditionalHomelessPopulation</t>
  </si>
  <si>
    <t>NotesPage</t>
  </si>
  <si>
    <t>MethodologyField</t>
  </si>
  <si>
    <t>PIT_Summary_Report_Template_v1.0.4.xlsx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</si>
</sst>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10409]General"/>
    <numFmt numFmtId="165" formatCode="#,##0.0"/>
    <numFmt numFmtId="166" formatCode="0.0%"/>
  </numFmts>
  <fonts count="24" x14ac:knownFonts="1">
    <font>
      <sz val="11"/>
      <color theme="1"/>
      <name val="Calibri"/>
      <family val="2"/>
      <scheme val="minor"/>
    </font>
    <font>
      <sz val="11"/>
      <color theme="1"/>
      <name val="Aptos"/>
      <family val="2"/>
    </font>
    <font>
      <sz val="10"/>
      <name val="Arial"/>
      <family val="2"/>
    </font>
    <font>
      <i/>
      <sz val="11"/>
      <color rgb="FF7F7F7F"/>
      <name val="Calibri"/>
      <family val="2"/>
      <scheme val="minor"/>
    </font>
    <font>
      <sz val="14"/>
      <color indexed="56"/>
      <name val="Aptos Narrow"/>
      <family val="2"/>
    </font>
    <font>
      <sz val="11"/>
      <color theme="1"/>
      <name val="Aptos Narrow"/>
      <family val="2"/>
    </font>
    <font>
      <i/>
      <sz val="11"/>
      <color rgb="FF7F7F7F"/>
      <name val="Aptos Narrow"/>
      <family val="2"/>
    </font>
    <font>
      <b/>
      <sz val="11"/>
      <color indexed="9"/>
      <name val="Aptos Narrow"/>
      <family val="2"/>
    </font>
    <font>
      <b/>
      <sz val="11"/>
      <color theme="1"/>
      <name val="Aptos Narrow"/>
      <family val="2"/>
    </font>
    <font>
      <sz val="11"/>
      <color theme="0"/>
      <name val="Aptos Narrow"/>
      <family val="2"/>
    </font>
    <font>
      <sz val="11"/>
      <color theme="0" tint="-0.249977111117893"/>
      <name val="Aptos Narrow"/>
      <family val="2"/>
    </font>
    <font>
      <b/>
      <u/>
      <sz val="15"/>
      <color theme="1"/>
      <name val="Aptos Narrow"/>
      <family val="2"/>
    </font>
    <font>
      <b/>
      <sz val="15"/>
      <color theme="1"/>
      <name val="Aptos Narrow"/>
      <family val="2"/>
    </font>
    <font>
      <sz val="11"/>
      <color theme="1"/>
      <name val="Calibri"/>
      <family val="2"/>
      <scheme val="minor"/>
    </font>
    <font>
      <b/>
      <sz val="15"/>
      <color theme="3"/>
      <name val="Calibri"/>
      <family val="2"/>
      <scheme val="minor"/>
    </font>
    <font>
      <b/>
      <sz val="13"/>
      <color theme="3"/>
      <name val="Calibri"/>
      <family val="2"/>
      <scheme val="minor"/>
    </font>
    <font>
      <b/>
      <sz val="14"/>
      <name val="Aptos Narrow"/>
      <family val="2"/>
    </font>
    <font>
      <b/>
      <sz val="15"/>
      <name val="Aptos Narrow"/>
      <family val="2"/>
    </font>
    <font>
      <b/>
      <sz val="16"/>
      <color theme="1"/>
      <name val="Aptos Narrow"/>
      <family val="2"/>
    </font>
    <font>
      <b/>
      <sz val="16"/>
      <name val="Aptos Narrow"/>
      <family val="2"/>
    </font>
    <font>
      <sz val="11"/>
      <color rgb="FF000000"/>
      <name val="Calibri"/>
      <family val="2"/>
      <scheme val="minor"/>
    </font>
    <font>
      <sz val="11"/>
      <color rgb="FFFFFFFF"/>
      <name val="Calibri"/>
      <family val="2"/>
      <scheme val="minor"/>
    </font>
    <font>
      <sz val="15"/>
      <color theme="1"/>
      <name val="Aptos Narrow"/>
      <family val="2"/>
    </font>
    <font>
      <b/>
      <sz val="12"/>
      <name val="Aptos Narrow"/>
      <family val="2"/>
    </font>
  </fonts>
  <fills count="10">
    <fill>
      <patternFill patternType="none"/>
    </fill>
    <fill>
      <patternFill patternType="gray125"/>
    </fill>
    <fill>
      <patternFill patternType="solid">
        <fgColor theme="0"/>
        <bgColor indexed="64"/>
      </patternFill>
    </fill>
    <fill>
      <patternFill patternType="solid">
        <fgColor rgb="FF175892"/>
        <bgColor indexed="64"/>
      </patternFill>
    </fill>
    <fill>
      <patternFill patternType="solid">
        <fgColor indexed="56"/>
      </patternFill>
    </fill>
    <fill>
      <patternFill patternType="solid">
        <fgColor theme="0" tint="-0.249977111117893"/>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rgb="FFD9D9D9"/>
        <bgColor indexed="64"/>
      </patternFill>
    </fill>
    <fill>
      <patternFill patternType="solid">
        <fgColor rgb="FF0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s>
  <cellStyleXfs count="10">
    <xf numFmtId="0" fontId="0" fillId="0" borderId="0"/>
    <xf numFmtId="0" fontId="2" fillId="0" borderId="0">
      <alignment wrapText="1"/>
    </xf>
    <xf numFmtId="0" fontId="2" fillId="0" borderId="0">
      <alignment wrapText="1"/>
    </xf>
    <xf numFmtId="0" fontId="3" fillId="0" borderId="0" applyNumberFormat="0" applyFill="0" applyBorder="0" applyAlignment="0" applyProtection="0"/>
    <xf numFmtId="0" fontId="1" fillId="0" borderId="0"/>
    <xf numFmtId="0" fontId="14" fillId="0" borderId="3" applyNumberFormat="0" applyFill="0" applyAlignment="0" applyProtection="0"/>
    <xf numFmtId="3" fontId="13" fillId="0" borderId="0" applyFont="0" applyFill="0" applyBorder="0" applyProtection="0">
      <alignment horizontal="right" vertical="center" indent="1"/>
    </xf>
    <xf numFmtId="165" fontId="13" fillId="0" borderId="0" applyFont="0" applyFill="0" applyBorder="0" applyProtection="0">
      <alignment horizontal="right" vertical="center" indent="1"/>
    </xf>
    <xf numFmtId="166" fontId="13" fillId="0" borderId="0" applyFont="0" applyFill="0" applyBorder="0" applyProtection="0">
      <alignment horizontal="right" vertical="center" indent="1"/>
    </xf>
    <xf numFmtId="0" fontId="15" fillId="0" borderId="4" applyNumberFormat="0" applyFill="0" applyAlignment="0" applyProtection="0"/>
  </cellStyleXfs>
  <cellXfs count="51">
    <xf numFmtId="0" fontId="0" fillId="0" borderId="0" xfId="0"/>
    <xf numFmtId="164" fontId="12" fillId="0" borderId="0" xfId="1" applyNumberFormat="1" applyFont="1" applyAlignment="1">
      <alignment horizontal="left" vertical="center" readingOrder="1"/>
    </xf>
    <xf numFmtId="164" fontId="7" fillId="4" borderId="0" xfId="2" applyNumberFormat="1" applyFont="1" applyFill="1" applyAlignment="1">
      <alignment horizontal="centerContinuous" vertical="center" wrapText="1" readingOrder="1"/>
    </xf>
    <xf numFmtId="164" fontId="7" fillId="4" borderId="0" xfId="2" applyNumberFormat="1" applyFont="1" applyFill="1" applyAlignment="1">
      <alignment horizontal="centerContinuous" wrapText="1" readingOrder="1"/>
    </xf>
    <xf numFmtId="0" fontId="9" fillId="3" borderId="0" xfId="0" applyFont="1" applyFill="1" applyAlignment="1">
      <alignment horizontal="center" vertical="center" wrapText="1"/>
    </xf>
    <xf numFmtId="0" fontId="5" fillId="2" borderId="0" xfId="0" applyFont="1" applyFill="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0" borderId="2" xfId="0" applyFont="1" applyBorder="1" applyAlignment="1">
      <alignment vertical="center"/>
    </xf>
    <xf numFmtId="3" fontId="5" fillId="5" borderId="2" xfId="0" applyNumberFormat="1" applyFont="1" applyFill="1" applyBorder="1" applyAlignment="1">
      <alignment vertical="center"/>
    </xf>
    <xf numFmtId="3" fontId="5" fillId="5" borderId="1" xfId="0" applyNumberFormat="1" applyFont="1" applyFill="1" applyBorder="1" applyAlignment="1">
      <alignment vertical="center"/>
    </xf>
    <xf numFmtId="0" fontId="5" fillId="0" borderId="1" xfId="0" applyFont="1" applyBorder="1" applyAlignment="1">
      <alignment horizontal="left" vertical="center"/>
    </xf>
    <xf numFmtId="3" fontId="5" fillId="2" borderId="1" xfId="0" applyNumberFormat="1" applyFont="1" applyFill="1" applyBorder="1" applyAlignment="1">
      <alignment vertical="center"/>
    </xf>
    <xf numFmtId="0" fontId="5" fillId="2" borderId="0" xfId="0" applyFont="1" applyFill="1" applyAlignment="1">
      <alignment horizontal="left" vertical="center"/>
    </xf>
    <xf numFmtId="10" fontId="8" fillId="2" borderId="0" xfId="0" applyNumberFormat="1" applyFont="1" applyFill="1" applyAlignment="1">
      <alignment vertical="center"/>
    </xf>
    <xf numFmtId="3" fontId="5" fillId="0" borderId="1" xfId="0" applyNumberFormat="1" applyFont="1" applyBorder="1" applyAlignment="1">
      <alignment vertical="center"/>
    </xf>
    <xf numFmtId="3" fontId="8" fillId="0" borderId="0" xfId="0" applyNumberFormat="1" applyFont="1" applyAlignment="1">
      <alignment vertical="center"/>
    </xf>
    <xf numFmtId="3" fontId="5" fillId="0" borderId="0" xfId="0" applyNumberFormat="1" applyFont="1" applyAlignment="1">
      <alignment vertical="center"/>
    </xf>
    <xf numFmtId="0" fontId="5" fillId="2" borderId="0" xfId="0" applyFont="1" applyFill="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vertical="center"/>
    </xf>
    <xf numFmtId="3" fontId="5" fillId="6" borderId="1" xfId="0" applyNumberFormat="1" applyFont="1" applyFill="1" applyBorder="1" applyAlignment="1">
      <alignment vertical="center"/>
    </xf>
    <xf numFmtId="0" fontId="9" fillId="7" borderId="1" xfId="0" applyFont="1" applyFill="1" applyBorder="1" applyAlignment="1">
      <alignment vertical="center"/>
    </xf>
    <xf numFmtId="0" fontId="5" fillId="0" borderId="1" xfId="0" applyFont="1" applyBorder="1" applyAlignment="1">
      <alignment horizontal="left" vertical="center" wrapText="1"/>
    </xf>
    <xf numFmtId="0" fontId="17" fillId="0" borderId="0" xfId="0" applyFont="1"/>
    <xf numFmtId="3" fontId="5" fillId="2" borderId="2" xfId="6" applyFont="1" applyFill="1" applyBorder="1">
      <alignment horizontal="right" vertical="center" indent="1"/>
    </xf>
    <xf numFmtId="3" fontId="5" fillId="2" borderId="1" xfId="6" applyFont="1" applyFill="1" applyBorder="1">
      <alignment horizontal="right" vertical="center" indent="1"/>
    </xf>
    <xf numFmtId="3" fontId="5" fillId="6" borderId="2" xfId="6" applyFont="1" applyFill="1" applyBorder="1">
      <alignment horizontal="right" vertical="center" indent="1"/>
    </xf>
    <xf numFmtId="3" fontId="5" fillId="6" borderId="1" xfId="6" applyFont="1" applyFill="1" applyBorder="1">
      <alignment horizontal="right" vertical="center" indent="1"/>
    </xf>
    <xf numFmtId="3" fontId="5" fillId="0" borderId="2" xfId="6" applyFont="1" applyBorder="1">
      <alignment horizontal="right" vertical="center" indent="1"/>
    </xf>
    <xf numFmtId="3" fontId="5" fillId="0" borderId="1" xfId="6" applyFont="1" applyBorder="1">
      <alignment horizontal="right" vertical="center" indent="1"/>
    </xf>
    <xf numFmtId="22" fontId="0" fillId="0" borderId="0" xfId="0" applyNumberFormat="1"/>
    <xf numFmtId="14" fontId="0" fillId="0" borderId="0" xfId="0" applyNumberFormat="1"/>
    <xf numFmtId="164" fontId="19" fillId="0" borderId="0" xfId="1" applyNumberFormat="1" applyFont="1" applyAlignment="1">
      <alignment horizontal="left" vertical="center" readingOrder="1"/>
    </xf>
    <xf numFmtId="164" fontId="4" fillId="0" borderId="0" xfId="1" applyNumberFormat="1" applyFont="1" applyAlignment="1">
      <alignment horizontal="left" vertical="center" wrapText="1" readingOrder="1"/>
    </xf>
    <xf numFmtId="0" fontId="10" fillId="0" borderId="0" xfId="0" applyFont="1" applyAlignment="1">
      <alignment vertical="center"/>
    </xf>
    <xf numFmtId="164" fontId="18" fillId="0" borderId="0" xfId="1" applyNumberFormat="1" applyFont="1" applyAlignment="1">
      <alignment horizontal="left" vertical="center" readingOrder="1"/>
    </xf>
    <xf numFmtId="164" fontId="6" fillId="0" borderId="0" xfId="3" applyNumberFormat="1" applyFont="1" applyFill="1" applyAlignment="1">
      <alignment horizontal="left" vertical="center" readingOrder="1"/>
    </xf>
    <xf numFmtId="164" fontId="11" fillId="0" borderId="0" xfId="1" applyNumberFormat="1" applyFont="1" applyAlignment="1">
      <alignment horizontal="left" vertical="center" readingOrder="1"/>
    </xf>
    <xf numFmtId="164" fontId="16" fillId="0" borderId="0" xfId="1" applyNumberFormat="1" applyFont="1" applyAlignment="1">
      <alignment horizontal="left" vertical="center" readingOrder="1"/>
    </xf>
    <xf numFmtId="0" fontId="20" fillId="8" borderId="0" xfId="0" applyFont="1" applyFill="1"/>
    <xf numFmtId="0" fontId="21" fillId="9" borderId="0" xfId="0" applyFont="1" applyFill="1"/>
    <xf numFmtId="0" fontId="22" fillId="0" borderId="0" xfId="0" applyFont="1" applyAlignment="1">
      <alignment vertical="center"/>
    </xf>
    <xf numFmtId="0" fontId="5" fillId="0" borderId="0" xfId="0" applyFont="1"/>
    <xf numFmtId="0" fontId="17" fillId="0" borderId="0" xfId="5" applyFont="1" applyFill="1" applyBorder="1"/>
    <xf numFmtId="0" fontId="23" fillId="0" borderId="0" xfId="9" applyFont="1" applyBorder="1"/>
    <xf numFmtId="0" fontId="23" fillId="0" borderId="0" xfId="9" applyFont="1" applyFill="1" applyBorder="1"/>
    <xf numFmtId="15" fontId="0" fillId="0" borderId="0" xfId="0" applyNumberFormat="1"/>
  </cellXfs>
  <cellStyles count="10">
    <cellStyle name="0DecWComma&amp;0" xfId="6" xr:uid="{49C9BAB5-1E27-48EC-92B0-CC9B4F034814}"/>
    <cellStyle name="1DecWComma&amp;0" xfId="7" xr:uid="{CB43589C-8D6A-4BDA-AFA9-E5361429950C}"/>
    <cellStyle name="Explanatory Text" xfId="3" builtinId="53"/>
    <cellStyle name="Heading 1 2" xfId="5" xr:uid="{E3FC9ACC-645F-4A08-B6C3-C66C56356BC6}"/>
    <cellStyle name="Heading 2 2" xfId="9" xr:uid="{AE6E557B-C7C2-4ADE-A331-D207295DADCC}"/>
    <cellStyle name="Normal" xfId="0" builtinId="0"/>
    <cellStyle name="Normal 2" xfId="1" xr:uid="{E8C68911-312A-4328-AA50-FC8F41EBFCD3}"/>
    <cellStyle name="Normal 2 2" xfId="2" xr:uid="{391D6831-603B-484B-BEC3-1ABE00B338BE}"/>
    <cellStyle name="Normal 3" xfId="4" xr:uid="{D01B08D1-5AF4-4939-9736-A857906CE36C}"/>
    <cellStyle name="Pct1Dec" xfId="8" xr:uid="{BCA5770B-B0DB-4C94-8921-8388C55377FE}"/>
  </cellStyles>
  <dxfs count="2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rgb="FF1C3A70"/>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HDXTableStyle2" pivot="0" count="6" xr9:uid="{D2A4CA04-A8EF-4546-9547-764BF0714EF9}">
      <tableStyleElement type="wholeTable" dxfId="22"/>
      <tableStyleElement type="headerRow" dxfId="21"/>
      <tableStyleElement type="totalRow" dxfId="20"/>
      <tableStyleElement type="firstColumn" dxfId="19"/>
      <tableStyleElement type="lastColumn" dxfId="18"/>
      <tableStyleElement type="firstRowStripe" dxfId="17"/>
    </tableStyle>
  </tableStyles>
  <colors>
    <mruColors>
      <color rgb="FF1C3A70"/>
      <color rgb="FF003366"/>
      <color rgb="FF1758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23/09/relationships/Python" Target="pyth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8</xdr:row>
      <xdr:rowOff>114300</xdr:rowOff>
    </xdr:to>
    <xdr:sp macro="" textlink="">
      <xdr:nvSpPr>
        <xdr:cNvPr id="12289" name="AutoShape 1">
          <a:extLst>
            <a:ext uri="{FF2B5EF4-FFF2-40B4-BE49-F238E27FC236}">
              <a16:creationId xmlns:a16="http://schemas.microsoft.com/office/drawing/2014/main" id="{05B5FB7E-D303-4EA0-731C-8D41D14AAE85}"/>
            </a:ext>
          </a:extLst>
        </xdr:cNvPr>
        <xdr:cNvSpPr>
          <a:spLocks noChangeAspect="1" noChangeArrowheads="1"/>
        </xdr:cNvSpPr>
      </xdr:nvSpPr>
      <xdr:spPr bwMode="auto">
        <a:xfrm>
          <a:off x="0" y="62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114300</xdr:rowOff>
    </xdr:to>
    <xdr:sp macro="" textlink="">
      <xdr:nvSpPr>
        <xdr:cNvPr id="12290" name="AutoShape 2">
          <a:extLst>
            <a:ext uri="{FF2B5EF4-FFF2-40B4-BE49-F238E27FC236}">
              <a16:creationId xmlns:a16="http://schemas.microsoft.com/office/drawing/2014/main" id="{A22BCAE4-D5FF-2F7D-6833-1F98BDC209EF}"/>
            </a:ext>
          </a:extLst>
        </xdr:cNvPr>
        <xdr:cNvSpPr>
          <a:spLocks noChangeAspect="1" noChangeArrowheads="1"/>
        </xdr:cNvSpPr>
      </xdr:nvSpPr>
      <xdr:spPr bwMode="auto">
        <a:xfrm>
          <a:off x="0" y="62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xdr:row>
      <xdr:rowOff>22412</xdr:rowOff>
    </xdr:from>
    <xdr:ext cx="7541559" cy="702885"/>
    <xdr:sp macro="" textlink="">
      <xdr:nvSpPr>
        <xdr:cNvPr id="4" name="Measure 1, Table 1 Description">
          <a:extLst>
            <a:ext uri="{FF2B5EF4-FFF2-40B4-BE49-F238E27FC236}">
              <a16:creationId xmlns:a16="http://schemas.microsoft.com/office/drawing/2014/main" id="{C48A6A29-59A6-4943-9808-D0C30031F429}"/>
            </a:ext>
          </a:extLst>
        </xdr:cNvPr>
        <xdr:cNvSpPr txBox="1"/>
      </xdr:nvSpPr>
      <xdr:spPr>
        <a:xfrm>
          <a:off x="0" y="1434353"/>
          <a:ext cx="7541559" cy="702885"/>
        </a:xfrm>
        <a:prstGeom prst="rect">
          <a:avLst/>
        </a:prstGeom>
        <a:solidFill>
          <a:sysClr val="window" lastClr="FFFFFF">
            <a:alpha val="70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45720" rIns="91440" bIns="45720" rtlCol="0" anchor="ctr">
          <a:spAutoFit/>
        </a:bodyPr>
        <a:lstStyle/>
        <a:p>
          <a:r>
            <a:rPr lang="en-US" sz="1300" baseline="0">
              <a:solidFill>
                <a:schemeClr val="tx1"/>
              </a:solidFill>
              <a:latin typeface="Aptos Narrow" panose="020B0004020202020204" pitchFamily="34" charset="0"/>
            </a:rPr>
            <a:t>This spreadsheet has been designed as a lightweight method for users to view their PIT data in a spreadsheet-based format that is easier to visualize and print and includes references to the raw data elements users fill find in the PIT data as entered in HDX 2.0.</a:t>
          </a:r>
        </a:p>
      </xdr:txBody>
    </xdr:sp>
    <xdr:clientData/>
  </xdr:oneCellAnchor>
  <xdr:oneCellAnchor>
    <xdr:from>
      <xdr:col>0</xdr:col>
      <xdr:colOff>0</xdr:colOff>
      <xdr:row>11</xdr:row>
      <xdr:rowOff>220303</xdr:rowOff>
    </xdr:from>
    <xdr:ext cx="7496735" cy="1313436"/>
    <xdr:sp macro="" textlink="">
      <xdr:nvSpPr>
        <xdr:cNvPr id="5" name="Measure 1, Table 1 Description">
          <a:extLst>
            <a:ext uri="{FF2B5EF4-FFF2-40B4-BE49-F238E27FC236}">
              <a16:creationId xmlns:a16="http://schemas.microsoft.com/office/drawing/2014/main" id="{84001821-B299-4178-A020-D59F5C3139B4}"/>
            </a:ext>
          </a:extLst>
        </xdr:cNvPr>
        <xdr:cNvSpPr txBox="1"/>
      </xdr:nvSpPr>
      <xdr:spPr>
        <a:xfrm>
          <a:off x="0" y="2584744"/>
          <a:ext cx="7496735" cy="1313436"/>
        </a:xfrm>
        <a:prstGeom prst="rect">
          <a:avLst/>
        </a:prstGeom>
        <a:solidFill>
          <a:sysClr val="window" lastClr="FFFFFF">
            <a:alpha val="70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45720" rIns="91440" bIns="45720" rtlCol="0" anchor="ctr">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300" baseline="0">
              <a:solidFill>
                <a:schemeClr val="dk1"/>
              </a:solidFill>
              <a:effectLst/>
              <a:latin typeface="Aptos Narrow" panose="020B0004020202020204" pitchFamily="34" charset="0"/>
              <a:ea typeface="+mn-ea"/>
              <a:cs typeface="+mn-cs"/>
            </a:rPr>
            <a:t>For a visual guide with screenshots for how to populate this template, please check the HDX 2.0 Issues page (the URL to that page is available on the banner of HDX). Otherwise, follow these instructions: 1) Download the Pit Raw Data from the "PIT Reports" page of the PIT module of HDX and open it in Excel. 2) Paste that .csv data into the "PitRawData" tab of this spreadsheet (we recommend that you use the 'Paste as Values" option). The data on all other tabs will then update automatically. You may need to enable automatic calculation in the "Formulas" tab of Excel.</a:t>
          </a:r>
          <a:endParaRPr lang="en-US" sz="1300">
            <a:effectLst/>
            <a:latin typeface="Aptos Narrow" panose="020B0004020202020204" pitchFamily="34" charset="0"/>
          </a:endParaRPr>
        </a:p>
      </xdr:txBody>
    </xdr:sp>
    <xdr:clientData/>
  </xdr:oneCellAnchor>
  <xdr:oneCellAnchor>
    <xdr:from>
      <xdr:col>2</xdr:col>
      <xdr:colOff>507106</xdr:colOff>
      <xdr:row>0</xdr:row>
      <xdr:rowOff>63500</xdr:rowOff>
    </xdr:from>
    <xdr:ext cx="2001332" cy="295850"/>
    <xdr:sp macro="" textlink="">
      <xdr:nvSpPr>
        <xdr:cNvPr id="6" name="Measure 1, Table 1 Description">
          <a:extLst>
            <a:ext uri="{FF2B5EF4-FFF2-40B4-BE49-F238E27FC236}">
              <a16:creationId xmlns:a16="http://schemas.microsoft.com/office/drawing/2014/main" id="{B940AB36-7A7E-4F84-8EAC-97F9370751FB}"/>
            </a:ext>
          </a:extLst>
        </xdr:cNvPr>
        <xdr:cNvSpPr txBox="1"/>
      </xdr:nvSpPr>
      <xdr:spPr>
        <a:xfrm>
          <a:off x="5523606" y="63500"/>
          <a:ext cx="2001332" cy="295850"/>
        </a:xfrm>
        <a:prstGeom prst="rect">
          <a:avLst/>
        </a:prstGeom>
        <a:solidFill>
          <a:sysClr val="window" lastClr="FFFFFF">
            <a:alpha val="70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45720" rIns="91440" bIns="45720" rtlCol="0" anchor="ctr">
          <a:spAutoFit/>
        </a:bodyPr>
        <a:lstStyle/>
        <a:p>
          <a:pPr algn="r"/>
          <a:r>
            <a:rPr lang="en-US" sz="1300">
              <a:solidFill>
                <a:schemeClr val="tx1"/>
              </a:solidFill>
              <a:latin typeface="+mn-lt"/>
            </a:rPr>
            <a:t>This document is printable</a:t>
          </a:r>
        </a:p>
      </xdr:txBody>
    </xdr:sp>
    <xdr:clientData/>
  </xdr:oneCellAnchor>
  <xdr:oneCellAnchor>
    <xdr:from>
      <xdr:col>0</xdr:col>
      <xdr:colOff>1</xdr:colOff>
      <xdr:row>20</xdr:row>
      <xdr:rowOff>232524</xdr:rowOff>
    </xdr:from>
    <xdr:ext cx="7440706" cy="2025034"/>
    <xdr:sp macro="" textlink="">
      <xdr:nvSpPr>
        <xdr:cNvPr id="7" name="Measure 1, Table 1 Description">
          <a:extLst>
            <a:ext uri="{FF2B5EF4-FFF2-40B4-BE49-F238E27FC236}">
              <a16:creationId xmlns:a16="http://schemas.microsoft.com/office/drawing/2014/main" id="{2DFDC68B-CC36-4F69-87F3-4310185B85F9}"/>
            </a:ext>
          </a:extLst>
        </xdr:cNvPr>
        <xdr:cNvSpPr txBox="1"/>
      </xdr:nvSpPr>
      <xdr:spPr>
        <a:xfrm>
          <a:off x="1" y="4367495"/>
          <a:ext cx="7440706" cy="2025034"/>
        </a:xfrm>
        <a:prstGeom prst="rect">
          <a:avLst/>
        </a:prstGeom>
        <a:solidFill>
          <a:sysClr val="window" lastClr="FFFFFF">
            <a:alpha val="70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45720" rIns="91440" bIns="4572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300" baseline="0">
              <a:solidFill>
                <a:schemeClr val="dk1"/>
              </a:solidFill>
              <a:effectLst/>
              <a:latin typeface="Aptos Narrow" panose="020B0004020202020204" pitchFamily="34" charset="0"/>
              <a:ea typeface="+mn-ea"/>
              <a:cs typeface="+mn-cs"/>
            </a:rPr>
            <a:t>All of the sheets of this spreadsheet are locked by default except for the "PitRawData" sheet. Some advanced users may choose to make edits by unlocking the spreadsheet - the password to unlock the spreadsheet is "unlock" (without quotes). Users who unlock the spreadsheet may choose to unhide column that contain variable references. For most users, however, we do not recommend making edits to any of the formulas as this can make the template behave in unexpected ways. AAQ support cannot be provided to individuals who have edited formulas in this spreadsheet. </a:t>
          </a:r>
        </a:p>
        <a:p>
          <a:pPr marL="0" marR="0" lvl="0" indent="0" defTabSz="914400" eaLnBrk="1" fontAlgn="auto" latinLnBrk="0" hangingPunct="1">
            <a:lnSpc>
              <a:spcPct val="100000"/>
            </a:lnSpc>
            <a:spcBef>
              <a:spcPts val="0"/>
            </a:spcBef>
            <a:spcAft>
              <a:spcPts val="0"/>
            </a:spcAft>
            <a:buClrTx/>
            <a:buSzTx/>
            <a:buFontTx/>
            <a:buNone/>
            <a:tabLst/>
            <a:defRPr/>
          </a:pPr>
          <a:endParaRPr lang="en-US" sz="1300" baseline="0">
            <a:solidFill>
              <a:schemeClr val="dk1"/>
            </a:solidFill>
            <a:effectLst/>
            <a:latin typeface="Aptos Narrow" panose="020B00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solidFill>
                <a:schemeClr val="dk1"/>
              </a:solidFill>
              <a:effectLst/>
              <a:latin typeface="Aptos Narrow" panose="020B0004020202020204" pitchFamily="34" charset="0"/>
              <a:ea typeface="+mn-ea"/>
              <a:cs typeface="+mn-cs"/>
            </a:rPr>
            <a:t>If, after pasting your data, you still see many cells showing "NO DATA" or experience other issues, we recommend that you redownload the latest raw data and template available on HDX.</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1285875</xdr:colOff>
      <xdr:row>11</xdr:row>
      <xdr:rowOff>125536</xdr:rowOff>
    </xdr:from>
    <xdr:ext cx="3171825" cy="1246064"/>
    <xdr:sp macro="" textlink="">
      <xdr:nvSpPr>
        <xdr:cNvPr id="3" name="Measure 1, Table 1 Description">
          <a:extLst>
            <a:ext uri="{FF2B5EF4-FFF2-40B4-BE49-F238E27FC236}">
              <a16:creationId xmlns:a16="http://schemas.microsoft.com/office/drawing/2014/main" id="{95064693-D3B0-46EB-8582-305EBA8A73A5}"/>
            </a:ext>
          </a:extLst>
        </xdr:cNvPr>
        <xdr:cNvSpPr txBox="1"/>
      </xdr:nvSpPr>
      <xdr:spPr>
        <a:xfrm>
          <a:off x="6238875" y="1459036"/>
          <a:ext cx="3171825" cy="1246064"/>
        </a:xfrm>
        <a:prstGeom prst="rect">
          <a:avLst/>
        </a:prstGeom>
        <a:solidFill>
          <a:sysClr val="window" lastClr="FFFFFF">
            <a:alpha val="70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45720" rIns="91440" bIns="45720" rtlCol="0" anchor="ctr">
          <a:noAutofit/>
        </a:bodyPr>
        <a:lstStyle/>
        <a:p>
          <a:r>
            <a:rPr lang="en-US" sz="2400" baseline="0">
              <a:solidFill>
                <a:schemeClr val="tx1"/>
              </a:solidFill>
              <a:latin typeface="+mn-lt"/>
            </a:rPr>
            <a:t>This tab is intended for administrative use only.</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410A-5909-4DD9-A41A-700212A4C4F8}">
  <sheetPr codeName="Sheet2"/>
  <dimension ref="A1:F32"/>
  <sheetViews>
    <sheetView tabSelected="1" zoomScaleNormal="100" zoomScaleSheetLayoutView="100" workbookViewId="0"/>
  </sheetViews>
  <sheetFormatPr defaultColWidth="0" defaultRowHeight="15" zeroHeight="1" x14ac:dyDescent="0.25"/>
  <cols>
    <col min="1" max="1" width="62.7109375" customWidth="1"/>
    <col min="2" max="5" width="12.7109375" customWidth="1"/>
    <col min="6" max="13" width="9.140625" hidden="1" customWidth="1"/>
    <col min="14" max="16384" width="9.140625" hidden="1"/>
  </cols>
  <sheetData>
    <row r="1" spans="1:6" ht="21" customHeight="1" x14ac:dyDescent="0.25">
      <c r="A1" s="39" t="s">
        <v>726</v>
      </c>
    </row>
    <row r="2" spans="1:6" ht="18" customHeight="1" x14ac:dyDescent="0.25">
      <c r="A2" s="45" t="str">
        <f>HeadingLine2</f>
        <v/>
      </c>
      <c r="B2" s="46"/>
      <c r="C2" s="46"/>
      <c r="D2" s="46"/>
      <c r="E2" s="46"/>
      <c r="F2" s="46"/>
    </row>
    <row r="3" spans="1:6" ht="18" customHeight="1" x14ac:dyDescent="0.25">
      <c r="A3" s="45" t="str">
        <f>HeadingLine3</f>
        <v>PASTE DATA INTO THE 'PitRawData' TAB TO POPULATE THIS TEMPLATE.</v>
      </c>
      <c r="B3" s="46"/>
      <c r="C3" s="46"/>
      <c r="D3" s="46"/>
      <c r="E3" s="46"/>
      <c r="F3" s="46"/>
    </row>
    <row r="4" spans="1:6" ht="18" customHeight="1" x14ac:dyDescent="0.25">
      <c r="A4" s="45" t="str">
        <f>HeadingLine4</f>
        <v/>
      </c>
      <c r="B4" s="46"/>
      <c r="C4" s="46"/>
      <c r="D4" s="46"/>
      <c r="E4" s="46"/>
      <c r="F4" s="46"/>
    </row>
    <row r="5" spans="1:6" ht="18" customHeight="1" x14ac:dyDescent="0.25">
      <c r="A5" s="39"/>
      <c r="B5" s="36"/>
      <c r="C5" s="42"/>
      <c r="D5" s="37"/>
      <c r="E5" s="37"/>
    </row>
    <row r="6" spans="1:6" ht="19.5" x14ac:dyDescent="0.3">
      <c r="A6" s="27" t="s">
        <v>724</v>
      </c>
    </row>
    <row r="7" spans="1:6" x14ac:dyDescent="0.25"/>
    <row r="8" spans="1:6" x14ac:dyDescent="0.25"/>
    <row r="9" spans="1:6" x14ac:dyDescent="0.25"/>
    <row r="10" spans="1:6" x14ac:dyDescent="0.25"/>
    <row r="11" spans="1:6" x14ac:dyDescent="0.25"/>
    <row r="12" spans="1:6" ht="19.5" x14ac:dyDescent="0.3">
      <c r="A12" s="27" t="s">
        <v>727</v>
      </c>
    </row>
    <row r="13" spans="1:6" x14ac:dyDescent="0.25"/>
    <row r="14" spans="1:6" x14ac:dyDescent="0.25"/>
    <row r="15" spans="1:6" x14ac:dyDescent="0.25"/>
    <row r="16" spans="1:6" x14ac:dyDescent="0.25"/>
    <row r="17" spans="1:1" x14ac:dyDescent="0.25"/>
    <row r="18" spans="1:1" x14ac:dyDescent="0.25"/>
    <row r="19" spans="1:1" x14ac:dyDescent="0.25"/>
    <row r="20" spans="1:1" x14ac:dyDescent="0.25"/>
    <row r="21" spans="1:1" ht="19.5" x14ac:dyDescent="0.3">
      <c r="A21" s="27" t="s">
        <v>728</v>
      </c>
    </row>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sheetData>
  <sheetProtection algorithmName="SHA-512" hashValue="4EIWaXqVL1CKcQIxwNQuBE6YYYM4i//xymK2f7b3jbZ/7c5kw0j9LuxpJOzF/ySKU1UQyhEAH2rDlhO5M7UgmA==" saltValue="+s1w704IIF1aXYBAuY1SXQ==" spinCount="100000" sheet="1" objects="1" scenarios="1"/>
  <conditionalFormatting sqref="A3:K3">
    <cfRule type="expression" dxfId="16" priority="1">
      <formula>$A$3="PASTE DATA INTO THE 'PitRawData' TAB TO POPULATE THIS TEMPLATE."</formula>
    </cfRule>
  </conditionalFormatting>
  <pageMargins left="0.7" right="0.7" top="0.75" bottom="0.75" header="0.3" footer="0.3"/>
  <pageSetup orientation="landscape" r:id="rId1"/>
  <rowBreaks count="1" manualBreakCount="1">
    <brk id="62"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CBE1-A487-4F64-A327-8A83DDD6F9C6}">
  <sheetPr codeName="Sheet5">
    <tabColor rgb="FF1C3A70"/>
  </sheetPr>
  <dimension ref="G3:AMK3"/>
  <sheetViews>
    <sheetView zoomScaleNormal="100" workbookViewId="0"/>
  </sheetViews>
  <sheetFormatPr defaultRowHeight="15" x14ac:dyDescent="0.25"/>
  <sheetData>
    <row r="3" spans="7:7 1025:1025" x14ac:dyDescent="0.25">
      <c r="G3" s="50"/>
      <c r="AMK3" s="50"/>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7AC8-2A52-4B4C-8598-8299757837ED}">
  <sheetPr codeName="Sheet1"/>
  <dimension ref="A1:I42"/>
  <sheetViews>
    <sheetView zoomScaleNormal="100" workbookViewId="0"/>
  </sheetViews>
  <sheetFormatPr defaultColWidth="0" defaultRowHeight="15" zeroHeight="1" x14ac:dyDescent="0.25"/>
  <cols>
    <col min="1" max="1" width="62.7109375" style="6" customWidth="1"/>
    <col min="2" max="6" width="12.7109375" style="6" customWidth="1"/>
    <col min="7" max="9" width="39.7109375" style="6" hidden="1" customWidth="1"/>
    <col min="10" max="16384" width="9.140625" style="6" hidden="1"/>
  </cols>
  <sheetData>
    <row r="1" spans="1:9" ht="21" customHeight="1" x14ac:dyDescent="0.25">
      <c r="A1" s="39" t="s">
        <v>726</v>
      </c>
      <c r="B1" s="46"/>
      <c r="C1" s="46"/>
      <c r="D1" s="46"/>
      <c r="E1" s="46"/>
      <c r="F1" s="46"/>
    </row>
    <row r="2" spans="1:9" ht="18" customHeight="1" x14ac:dyDescent="0.25">
      <c r="A2" s="45" t="str">
        <f>HeadingLine2</f>
        <v/>
      </c>
      <c r="B2" s="46"/>
      <c r="C2" s="46"/>
      <c r="D2" s="46"/>
      <c r="E2" s="46"/>
      <c r="F2" s="46"/>
    </row>
    <row r="3" spans="1:9" ht="18" customHeight="1" x14ac:dyDescent="0.25">
      <c r="A3" s="45" t="str">
        <f>HeadingLine3</f>
        <v>PASTE DATA INTO THE 'PitRawData' TAB TO POPULATE THIS TEMPLATE.</v>
      </c>
      <c r="B3" s="46"/>
      <c r="C3" s="46"/>
      <c r="D3" s="46"/>
      <c r="E3" s="46"/>
      <c r="F3" s="46"/>
    </row>
    <row r="4" spans="1:9" ht="18" customHeight="1" x14ac:dyDescent="0.25">
      <c r="A4" s="45" t="str">
        <f>HeadingLine4</f>
        <v/>
      </c>
      <c r="B4" s="46"/>
      <c r="C4" s="46"/>
      <c r="D4" s="46"/>
      <c r="E4" s="46"/>
      <c r="F4" s="46"/>
    </row>
    <row r="5" spans="1:9" ht="18" customHeight="1" x14ac:dyDescent="0.25">
      <c r="A5" s="41"/>
      <c r="B5" s="42"/>
      <c r="C5" s="37"/>
      <c r="D5" s="37"/>
      <c r="E5" s="37"/>
      <c r="F5" s="37"/>
    </row>
    <row r="6" spans="1:9" ht="18" customHeight="1" x14ac:dyDescent="0.3">
      <c r="A6" s="47" t="s">
        <v>692</v>
      </c>
      <c r="B6" s="37"/>
      <c r="C6" s="37"/>
      <c r="D6" s="37"/>
      <c r="E6" s="37"/>
      <c r="F6" s="37"/>
    </row>
    <row r="7" spans="1:9" ht="15" customHeight="1" x14ac:dyDescent="0.25">
      <c r="A7" s="1"/>
      <c r="B7" s="37"/>
      <c r="C7" s="37"/>
      <c r="D7" s="37"/>
      <c r="E7" s="37"/>
      <c r="F7" s="37"/>
    </row>
    <row r="8" spans="1:9" ht="21" customHeight="1" x14ac:dyDescent="0.25">
      <c r="B8" s="2" t="s">
        <v>4</v>
      </c>
      <c r="C8" s="2"/>
      <c r="D8" s="3" t="s">
        <v>5</v>
      </c>
      <c r="E8" s="2" t="s">
        <v>2</v>
      </c>
      <c r="F8" s="22"/>
    </row>
    <row r="9" spans="1:9" ht="18" customHeight="1" x14ac:dyDescent="0.25">
      <c r="A9" s="48" t="s">
        <v>3</v>
      </c>
      <c r="B9" s="4" t="s">
        <v>0</v>
      </c>
      <c r="C9" s="4" t="s">
        <v>1</v>
      </c>
      <c r="D9" s="2"/>
      <c r="E9" s="2"/>
      <c r="F9" s="38"/>
    </row>
    <row r="10" spans="1:9" ht="15" customHeight="1" x14ac:dyDescent="0.25">
      <c r="A10" s="7" t="s">
        <v>6</v>
      </c>
      <c r="B10" s="28" t="str">
        <f>IFERROR(INDEX(PitRawData!$A$1:$AMK$3,3,MATCH(G10,PitRawData!$A$1:$AMK$1,0)),"NO DATA")</f>
        <v>NO DATA</v>
      </c>
      <c r="C10" s="28" t="str">
        <f>IFERROR(INDEX(PitRawData!$A$1:$AMK$3,3,MATCH(H10,PitRawData!$A$1:$AMK$1,0)),"NO DATA")</f>
        <v>NO DATA</v>
      </c>
      <c r="D10" s="28" t="str">
        <f>IFERROR(INDEX(PitRawData!$A$1:$AMK$3,3,MATCH(I10,PitRawData!$A$1:$AMK$1,0)),"NO DATA")</f>
        <v>NO DATA</v>
      </c>
      <c r="E10" s="30">
        <f t="shared" ref="E10:E18" si="0">SUM(B10:D10)</f>
        <v>0</v>
      </c>
      <c r="F10" s="38"/>
      <c r="G10" s="6" t="s">
        <v>672</v>
      </c>
      <c r="H10" s="6" t="s">
        <v>647</v>
      </c>
      <c r="I10" s="6" t="s">
        <v>624</v>
      </c>
    </row>
    <row r="11" spans="1:9" ht="15" customHeight="1" x14ac:dyDescent="0.25">
      <c r="A11" s="7" t="s">
        <v>7</v>
      </c>
      <c r="B11" s="31">
        <f>SUM(B12:B18)</f>
        <v>0</v>
      </c>
      <c r="C11" s="31">
        <f t="shared" ref="C11:D11" si="1">SUM(C12:C18)</f>
        <v>0</v>
      </c>
      <c r="D11" s="31">
        <f t="shared" si="1"/>
        <v>0</v>
      </c>
      <c r="E11" s="30">
        <f t="shared" si="0"/>
        <v>0</v>
      </c>
      <c r="F11" s="38"/>
    </row>
    <row r="12" spans="1:9" ht="15" customHeight="1" x14ac:dyDescent="0.25">
      <c r="A12" s="11" t="s">
        <v>8</v>
      </c>
      <c r="B12" s="29" t="str">
        <f>IFERROR(INDEX(PitRawData!$A$1:$AMK$3,3,MATCH(G12,PitRawData!$A$1:$AMK$1,0)),"NO DATA")</f>
        <v>NO DATA</v>
      </c>
      <c r="C12" s="29" t="str">
        <f>IFERROR(INDEX(PitRawData!$A$1:$AMK$3,3,MATCH(H12,PitRawData!$A$1:$AMK$1,0)),"NO DATA")</f>
        <v>NO DATA</v>
      </c>
      <c r="D12" s="29" t="str">
        <f>IFERROR(INDEX(PitRawData!$A$1:$AMK$3,3,MATCH(I12,PitRawData!$A$1:$AMK$1,0)),"NO DATA")</f>
        <v>NO DATA</v>
      </c>
      <c r="E12" s="30">
        <f t="shared" si="0"/>
        <v>0</v>
      </c>
      <c r="F12" s="38"/>
      <c r="G12" s="6" t="s">
        <v>671</v>
      </c>
      <c r="H12" s="6" t="s">
        <v>646</v>
      </c>
      <c r="I12" s="6" t="s">
        <v>623</v>
      </c>
    </row>
    <row r="13" spans="1:9" ht="15" customHeight="1" x14ac:dyDescent="0.25">
      <c r="A13" s="11" t="s">
        <v>9</v>
      </c>
      <c r="B13" s="29" t="str">
        <f>IFERROR(INDEX(PitRawData!$A$1:$AMK$3,3,MATCH(G13,PitRawData!$A$1:$AMK$1,0)),"NO DATA")</f>
        <v>NO DATA</v>
      </c>
      <c r="C13" s="29" t="str">
        <f>IFERROR(INDEX(PitRawData!$A$1:$AMK$3,3,MATCH(H13,PitRawData!$A$1:$AMK$1,0)),"NO DATA")</f>
        <v>NO DATA</v>
      </c>
      <c r="D13" s="29" t="str">
        <f>IFERROR(INDEX(PitRawData!$A$1:$AMK$3,3,MATCH(I13,PitRawData!$A$1:$AMK$1,0)),"NO DATA")</f>
        <v>NO DATA</v>
      </c>
      <c r="E13" s="30">
        <f t="shared" si="0"/>
        <v>0</v>
      </c>
      <c r="G13" s="6" t="s">
        <v>670</v>
      </c>
      <c r="H13" s="6" t="s">
        <v>645</v>
      </c>
      <c r="I13" s="6" t="s">
        <v>622</v>
      </c>
    </row>
    <row r="14" spans="1:9" ht="15" customHeight="1" x14ac:dyDescent="0.25">
      <c r="A14" s="11" t="s">
        <v>10</v>
      </c>
      <c r="B14" s="29" t="str">
        <f>IFERROR(INDEX(PitRawData!$A$1:$AMK$3,3,MATCH(G14,PitRawData!$A$1:$AMK$1,0)),"NO DATA")</f>
        <v>NO DATA</v>
      </c>
      <c r="C14" s="29" t="str">
        <f>IFERROR(INDEX(PitRawData!$A$1:$AMK$3,3,MATCH(H14,PitRawData!$A$1:$AMK$1,0)),"NO DATA")</f>
        <v>NO DATA</v>
      </c>
      <c r="D14" s="29" t="str">
        <f>IFERROR(INDEX(PitRawData!$A$1:$AMK$3,3,MATCH(I14,PitRawData!$A$1:$AMK$1,0)),"NO DATA")</f>
        <v>NO DATA</v>
      </c>
      <c r="E14" s="30">
        <f t="shared" si="0"/>
        <v>0</v>
      </c>
      <c r="G14" s="6" t="s">
        <v>669</v>
      </c>
      <c r="H14" s="6" t="s">
        <v>644</v>
      </c>
      <c r="I14" s="6" t="s">
        <v>621</v>
      </c>
    </row>
    <row r="15" spans="1:9" ht="15" customHeight="1" x14ac:dyDescent="0.25">
      <c r="A15" s="11" t="s">
        <v>11</v>
      </c>
      <c r="B15" s="29" t="str">
        <f>IFERROR(INDEX(PitRawData!$A$1:$AMK$3,3,MATCH(G15,PitRawData!$A$1:$AMK$1,0)),"NO DATA")</f>
        <v>NO DATA</v>
      </c>
      <c r="C15" s="29" t="str">
        <f>IFERROR(INDEX(PitRawData!$A$1:$AMK$3,3,MATCH(H15,PitRawData!$A$1:$AMK$1,0)),"NO DATA")</f>
        <v>NO DATA</v>
      </c>
      <c r="D15" s="29" t="str">
        <f>IFERROR(INDEX(PitRawData!$A$1:$AMK$3,3,MATCH(I15,PitRawData!$A$1:$AMK$1,0)),"NO DATA")</f>
        <v>NO DATA</v>
      </c>
      <c r="E15" s="30">
        <f t="shared" si="0"/>
        <v>0</v>
      </c>
      <c r="G15" s="6" t="s">
        <v>668</v>
      </c>
      <c r="H15" s="6" t="s">
        <v>643</v>
      </c>
      <c r="I15" s="6" t="s">
        <v>620</v>
      </c>
    </row>
    <row r="16" spans="1:9" ht="15" customHeight="1" x14ac:dyDescent="0.25">
      <c r="A16" s="11" t="s">
        <v>12</v>
      </c>
      <c r="B16" s="29" t="str">
        <f>IFERROR(INDEX(PitRawData!$A$1:$AMK$3,3,MATCH(G16,PitRawData!$A$1:$AMK$1,0)),"NO DATA")</f>
        <v>NO DATA</v>
      </c>
      <c r="C16" s="29" t="str">
        <f>IFERROR(INDEX(PitRawData!$A$1:$AMK$3,3,MATCH(H16,PitRawData!$A$1:$AMK$1,0)),"NO DATA")</f>
        <v>NO DATA</v>
      </c>
      <c r="D16" s="29" t="str">
        <f>IFERROR(INDEX(PitRawData!$A$1:$AMK$3,3,MATCH(I16,PitRawData!$A$1:$AMK$1,0)),"NO DATA")</f>
        <v>NO DATA</v>
      </c>
      <c r="E16" s="30">
        <f t="shared" si="0"/>
        <v>0</v>
      </c>
      <c r="G16" s="6" t="s">
        <v>667</v>
      </c>
      <c r="H16" s="6" t="s">
        <v>642</v>
      </c>
      <c r="I16" s="6" t="s">
        <v>619</v>
      </c>
    </row>
    <row r="17" spans="1:9" ht="15" customHeight="1" x14ac:dyDescent="0.25">
      <c r="A17" s="11" t="s">
        <v>13</v>
      </c>
      <c r="B17" s="29" t="str">
        <f>IFERROR(INDEX(PitRawData!$A$1:$AMK$3,3,MATCH(G17,PitRawData!$A$1:$AMK$1,0)),"NO DATA")</f>
        <v>NO DATA</v>
      </c>
      <c r="C17" s="29" t="str">
        <f>IFERROR(INDEX(PitRawData!$A$1:$AMK$3,3,MATCH(H17,PitRawData!$A$1:$AMK$1,0)),"NO DATA")</f>
        <v>NO DATA</v>
      </c>
      <c r="D17" s="29" t="str">
        <f>IFERROR(INDEX(PitRawData!$A$1:$AMK$3,3,MATCH(I17,PitRawData!$A$1:$AMK$1,0)),"NO DATA")</f>
        <v>NO DATA</v>
      </c>
      <c r="E17" s="30">
        <f t="shared" si="0"/>
        <v>0</v>
      </c>
      <c r="G17" s="6" t="s">
        <v>666</v>
      </c>
      <c r="H17" s="6" t="s">
        <v>641</v>
      </c>
      <c r="I17" s="6" t="s">
        <v>618</v>
      </c>
    </row>
    <row r="18" spans="1:9" ht="15" customHeight="1" x14ac:dyDescent="0.25">
      <c r="A18" s="11" t="s">
        <v>14</v>
      </c>
      <c r="B18" s="29" t="str">
        <f>IFERROR(INDEX(PitRawData!$A$1:$AMK$3,3,MATCH(G18,PitRawData!$A$1:$AMK$1,0)),"NO DATA")</f>
        <v>NO DATA</v>
      </c>
      <c r="C18" s="29" t="str">
        <f>IFERROR(INDEX(PitRawData!$A$1:$AMK$3,3,MATCH(H18,PitRawData!$A$1:$AMK$1,0)),"NO DATA")</f>
        <v>NO DATA</v>
      </c>
      <c r="D18" s="29" t="str">
        <f>IFERROR(INDEX(PitRawData!$A$1:$AMK$3,3,MATCH(I18,PitRawData!$A$1:$AMK$1,0)),"NO DATA")</f>
        <v>NO DATA</v>
      </c>
      <c r="E18" s="30">
        <f t="shared" si="0"/>
        <v>0</v>
      </c>
      <c r="G18" s="6" t="s">
        <v>665</v>
      </c>
      <c r="H18" s="6" t="s">
        <v>640</v>
      </c>
      <c r="I18" s="6" t="s">
        <v>617</v>
      </c>
    </row>
    <row r="19" spans="1:9" ht="15" customHeight="1" x14ac:dyDescent="0.25">
      <c r="A19" s="13"/>
      <c r="B19" s="14"/>
      <c r="C19" s="14"/>
      <c r="D19" s="14"/>
      <c r="E19" s="5"/>
    </row>
    <row r="20" spans="1:9" ht="21" customHeight="1" x14ac:dyDescent="0.25">
      <c r="B20" s="2" t="s">
        <v>4</v>
      </c>
      <c r="C20" s="2"/>
      <c r="D20" s="3" t="s">
        <v>5</v>
      </c>
      <c r="E20" s="2" t="s">
        <v>2</v>
      </c>
      <c r="F20" s="38"/>
    </row>
    <row r="21" spans="1:9" ht="18" customHeight="1" x14ac:dyDescent="0.25">
      <c r="A21" s="48" t="s">
        <v>694</v>
      </c>
      <c r="B21" s="4" t="s">
        <v>0</v>
      </c>
      <c r="C21" s="4" t="s">
        <v>1</v>
      </c>
      <c r="D21" s="2"/>
      <c r="E21" s="2"/>
      <c r="F21" s="38"/>
    </row>
    <row r="22" spans="1:9" ht="15" customHeight="1" x14ac:dyDescent="0.25">
      <c r="A22" s="11" t="s">
        <v>698</v>
      </c>
      <c r="B22" s="32" t="str">
        <f>IFERROR(INDEX(PitRawData!$A$1:$AMK$3,3,MATCH(G22,PitRawData!$A$1:$AMK$1,0)),"NO DATA")</f>
        <v>NO DATA</v>
      </c>
      <c r="C22" s="32" t="str">
        <f>IFERROR(INDEX(PitRawData!$A$1:$AMK$3,3,MATCH(H22,PitRawData!$A$1:$AMK$1,0)),"NO DATA")</f>
        <v>NO DATA</v>
      </c>
      <c r="D22" s="33" t="str">
        <f>IFERROR(INDEX(PitRawData!$A$1:$AMK$3,3,MATCH(I22,PitRawData!$A$1:$AMK$1,0)),"NO DATA")</f>
        <v>NO DATA</v>
      </c>
      <c r="E22" s="31">
        <f t="shared" ref="E22:E36" si="2">SUM(B22:D22)</f>
        <v>0</v>
      </c>
      <c r="G22" s="6" t="s">
        <v>662</v>
      </c>
      <c r="H22" s="6" t="s">
        <v>637</v>
      </c>
      <c r="I22" s="6" t="s">
        <v>614</v>
      </c>
    </row>
    <row r="23" spans="1:9" ht="15" customHeight="1" x14ac:dyDescent="0.25">
      <c r="A23" s="11" t="s">
        <v>699</v>
      </c>
      <c r="B23" s="33" t="str">
        <f>IFERROR(INDEX(PitRawData!$A$1:$AMK$3,3,MATCH(G23,PitRawData!$A$1:$AMK$1,0)),"NO DATA")</f>
        <v>NO DATA</v>
      </c>
      <c r="C23" s="33" t="str">
        <f>IFERROR(INDEX(PitRawData!$A$1:$AMK$3,3,MATCH(H23,PitRawData!$A$1:$AMK$1,0)),"NO DATA")</f>
        <v>NO DATA</v>
      </c>
      <c r="D23" s="33" t="str">
        <f>IFERROR(INDEX(PitRawData!$A$1:$AMK$3,3,MATCH(I23,PitRawData!$A$1:$AMK$1,0)),"NO DATA")</f>
        <v>NO DATA</v>
      </c>
      <c r="E23" s="31">
        <f t="shared" si="2"/>
        <v>0</v>
      </c>
      <c r="G23" s="6" t="s">
        <v>663</v>
      </c>
      <c r="H23" s="6" t="s">
        <v>638</v>
      </c>
      <c r="I23" s="6" t="s">
        <v>615</v>
      </c>
    </row>
    <row r="24" spans="1:9" ht="15" customHeight="1" x14ac:dyDescent="0.25">
      <c r="A24" s="11" t="s">
        <v>700</v>
      </c>
      <c r="B24" s="33" t="str">
        <f>IFERROR(INDEX(PitRawData!$A$1:$AMK$3,3,MATCH(G24,PitRawData!$A$1:$AMK$1,0)),"NO DATA")</f>
        <v>NO DATA</v>
      </c>
      <c r="C24" s="33" t="str">
        <f>IFERROR(INDEX(PitRawData!$A$1:$AMK$3,3,MATCH(H24,PitRawData!$A$1:$AMK$1,0)),"NO DATA")</f>
        <v>NO DATA</v>
      </c>
      <c r="D24" s="33" t="str">
        <f>IFERROR(INDEX(PitRawData!$A$1:$AMK$3,3,MATCH(I24,PitRawData!$A$1:$AMK$1,0)),"NO DATA")</f>
        <v>NO DATA</v>
      </c>
      <c r="E24" s="31">
        <f t="shared" si="2"/>
        <v>0</v>
      </c>
      <c r="G24" s="6" t="s">
        <v>660</v>
      </c>
      <c r="H24" s="6" t="s">
        <v>635</v>
      </c>
      <c r="I24" s="6" t="s">
        <v>612</v>
      </c>
    </row>
    <row r="25" spans="1:9" ht="15" customHeight="1" x14ac:dyDescent="0.25">
      <c r="A25" s="11" t="s">
        <v>701</v>
      </c>
      <c r="B25" s="33" t="str">
        <f>IFERROR(INDEX(PitRawData!$A$1:$AMK$3,3,MATCH(G25,PitRawData!$A$1:$AMK$1,0)),"NO DATA")</f>
        <v>NO DATA</v>
      </c>
      <c r="C25" s="33" t="str">
        <f>IFERROR(INDEX(PitRawData!$A$1:$AMK$3,3,MATCH(H25,PitRawData!$A$1:$AMK$1,0)),"NO DATA")</f>
        <v>NO DATA</v>
      </c>
      <c r="D25" s="33" t="str">
        <f>IFERROR(INDEX(PitRawData!$A$1:$AMK$3,3,MATCH(I25,PitRawData!$A$1:$AMK$1,0)),"NO DATA")</f>
        <v>NO DATA</v>
      </c>
      <c r="E25" s="31">
        <f t="shared" si="2"/>
        <v>0</v>
      </c>
      <c r="G25" s="6" t="s">
        <v>661</v>
      </c>
      <c r="H25" s="6" t="s">
        <v>636</v>
      </c>
      <c r="I25" s="6" t="s">
        <v>613</v>
      </c>
    </row>
    <row r="26" spans="1:9" ht="15" customHeight="1" x14ac:dyDescent="0.25">
      <c r="A26" s="11" t="s">
        <v>702</v>
      </c>
      <c r="B26" s="33" t="str">
        <f>IFERROR(INDEX(PitRawData!$A$1:$AMK$3,3,MATCH(G26,PitRawData!$A$1:$AMK$1,0)),"NO DATA")</f>
        <v>NO DATA</v>
      </c>
      <c r="C26" s="33" t="str">
        <f>IFERROR(INDEX(PitRawData!$A$1:$AMK$3,3,MATCH(H26,PitRawData!$A$1:$AMK$1,0)),"NO DATA")</f>
        <v>NO DATA</v>
      </c>
      <c r="D26" s="33" t="str">
        <f>IFERROR(INDEX(PitRawData!$A$1:$AMK$3,3,MATCH(I26,PitRawData!$A$1:$AMK$1,0)),"NO DATA")</f>
        <v>NO DATA</v>
      </c>
      <c r="E26" s="31">
        <f t="shared" si="2"/>
        <v>0</v>
      </c>
      <c r="G26" s="6" t="s">
        <v>658</v>
      </c>
      <c r="H26" s="6" t="s">
        <v>633</v>
      </c>
      <c r="I26" s="6" t="s">
        <v>610</v>
      </c>
    </row>
    <row r="27" spans="1:9" ht="15" customHeight="1" x14ac:dyDescent="0.25">
      <c r="A27" s="11" t="s">
        <v>703</v>
      </c>
      <c r="B27" s="33" t="str">
        <f>IFERROR(INDEX(PitRawData!$A$1:$AMK$3,3,MATCH(G27,PitRawData!$A$1:$AMK$1,0)),"NO DATA")</f>
        <v>NO DATA</v>
      </c>
      <c r="C27" s="33" t="str">
        <f>IFERROR(INDEX(PitRawData!$A$1:$AMK$3,3,MATCH(H27,PitRawData!$A$1:$AMK$1,0)),"NO DATA")</f>
        <v>NO DATA</v>
      </c>
      <c r="D27" s="33" t="str">
        <f>IFERROR(INDEX(PitRawData!$A$1:$AMK$3,3,MATCH(I27,PitRawData!$A$1:$AMK$1,0)),"NO DATA")</f>
        <v>NO DATA</v>
      </c>
      <c r="E27" s="31">
        <f t="shared" si="2"/>
        <v>0</v>
      </c>
      <c r="G27" s="6" t="s">
        <v>659</v>
      </c>
      <c r="H27" s="6" t="s">
        <v>634</v>
      </c>
      <c r="I27" s="6" t="s">
        <v>611</v>
      </c>
    </row>
    <row r="28" spans="1:9" ht="15" customHeight="1" x14ac:dyDescent="0.25">
      <c r="A28" s="11" t="s">
        <v>704</v>
      </c>
      <c r="B28" s="33" t="str">
        <f>IFERROR(INDEX(PitRawData!$A$1:$AMK$3,3,MATCH(G28,PitRawData!$A$1:$AMK$1,0)),"NO DATA")</f>
        <v>NO DATA</v>
      </c>
      <c r="C28" s="33" t="str">
        <f>IFERROR(INDEX(PitRawData!$A$1:$AMK$3,3,MATCH(H28,PitRawData!$A$1:$AMK$1,0)),"NO DATA")</f>
        <v>NO DATA</v>
      </c>
      <c r="D28" s="33" t="str">
        <f>IFERROR(INDEX(PitRawData!$A$1:$AMK$3,3,MATCH(I28,PitRawData!$A$1:$AMK$1,0)),"NO DATA")</f>
        <v>NO DATA</v>
      </c>
      <c r="E28" s="31">
        <f t="shared" si="2"/>
        <v>0</v>
      </c>
      <c r="G28" s="6" t="s">
        <v>664</v>
      </c>
      <c r="H28" s="6" t="s">
        <v>639</v>
      </c>
      <c r="I28" s="6" t="s">
        <v>616</v>
      </c>
    </row>
    <row r="29" spans="1:9" ht="15" customHeight="1" x14ac:dyDescent="0.25">
      <c r="A29" s="11" t="s">
        <v>705</v>
      </c>
      <c r="B29" s="33" t="str">
        <f>IFERROR(INDEX(PitRawData!$A$1:$AMK$3,3,MATCH(G29,PitRawData!$A$1:$AMK$1,0)),"NO DATA")</f>
        <v>NO DATA</v>
      </c>
      <c r="C29" s="33" t="str">
        <f>IFERROR(INDEX(PitRawData!$A$1:$AMK$3,3,MATCH(H29,PitRawData!$A$1:$AMK$1,0)),"NO DATA")</f>
        <v>NO DATA</v>
      </c>
      <c r="D29" s="33" t="str">
        <f>IFERROR(INDEX(PitRawData!$A$1:$AMK$3,3,MATCH(I29,PitRawData!$A$1:$AMK$1,0)),"NO DATA")</f>
        <v>NO DATA</v>
      </c>
      <c r="E29" s="31">
        <f t="shared" si="2"/>
        <v>0</v>
      </c>
      <c r="G29" s="6" t="s">
        <v>656</v>
      </c>
      <c r="H29" s="6" t="s">
        <v>631</v>
      </c>
      <c r="I29" s="6" t="s">
        <v>608</v>
      </c>
    </row>
    <row r="30" spans="1:9" ht="15" customHeight="1" x14ac:dyDescent="0.25">
      <c r="A30" s="11" t="s">
        <v>706</v>
      </c>
      <c r="B30" s="33" t="str">
        <f>IFERROR(INDEX(PitRawData!$A$1:$AMK$3,3,MATCH(G30,PitRawData!$A$1:$AMK$1,0)),"NO DATA")</f>
        <v>NO DATA</v>
      </c>
      <c r="C30" s="33" t="str">
        <f>IFERROR(INDEX(PitRawData!$A$1:$AMK$3,3,MATCH(H30,PitRawData!$A$1:$AMK$1,0)),"NO DATA")</f>
        <v>NO DATA</v>
      </c>
      <c r="D30" s="33" t="str">
        <f>IFERROR(INDEX(PitRawData!$A$1:$AMK$3,3,MATCH(I30,PitRawData!$A$1:$AMK$1,0)),"NO DATA")</f>
        <v>NO DATA</v>
      </c>
      <c r="E30" s="31">
        <f t="shared" si="2"/>
        <v>0</v>
      </c>
      <c r="G30" s="6" t="s">
        <v>657</v>
      </c>
      <c r="H30" s="6" t="s">
        <v>632</v>
      </c>
      <c r="I30" s="6" t="s">
        <v>609</v>
      </c>
    </row>
    <row r="31" spans="1:9" ht="15" customHeight="1" x14ac:dyDescent="0.25">
      <c r="A31" s="11" t="s">
        <v>707</v>
      </c>
      <c r="B31" s="33" t="str">
        <f>IFERROR(INDEX(PitRawData!$A$1:$AMK$3,3,MATCH(G31,PitRawData!$A$1:$AMK$1,0)),"NO DATA")</f>
        <v>NO DATA</v>
      </c>
      <c r="C31" s="33" t="str">
        <f>IFERROR(INDEX(PitRawData!$A$1:$AMK$3,3,MATCH(H31,PitRawData!$A$1:$AMK$1,0)),"NO DATA")</f>
        <v>NO DATA</v>
      </c>
      <c r="D31" s="33" t="str">
        <f>IFERROR(INDEX(PitRawData!$A$1:$AMK$3,3,MATCH(I31,PitRawData!$A$1:$AMK$1,0)),"NO DATA")</f>
        <v>NO DATA</v>
      </c>
      <c r="E31" s="31">
        <f t="shared" si="2"/>
        <v>0</v>
      </c>
      <c r="G31" s="6" t="s">
        <v>652</v>
      </c>
      <c r="H31" s="6" t="s">
        <v>627</v>
      </c>
      <c r="I31" s="6" t="s">
        <v>604</v>
      </c>
    </row>
    <row r="32" spans="1:9" ht="15" customHeight="1" x14ac:dyDescent="0.25">
      <c r="A32" s="11" t="s">
        <v>708</v>
      </c>
      <c r="B32" s="33" t="str">
        <f>IFERROR(INDEX(PitRawData!$A$1:$AMK$3,3,MATCH(G32,PitRawData!$A$1:$AMK$1,0)),"NO DATA")</f>
        <v>NO DATA</v>
      </c>
      <c r="C32" s="33" t="str">
        <f>IFERROR(INDEX(PitRawData!$A$1:$AMK$3,3,MATCH(H32,PitRawData!$A$1:$AMK$1,0)),"NO DATA")</f>
        <v>NO DATA</v>
      </c>
      <c r="D32" s="33" t="str">
        <f>IFERROR(INDEX(PitRawData!$A$1:$AMK$3,3,MATCH(I32,PitRawData!$A$1:$AMK$1,0)),"NO DATA")</f>
        <v>NO DATA</v>
      </c>
      <c r="E32" s="31">
        <f t="shared" si="2"/>
        <v>0</v>
      </c>
      <c r="G32" s="6" t="s">
        <v>653</v>
      </c>
      <c r="H32" s="6" t="s">
        <v>628</v>
      </c>
      <c r="I32" s="6" t="s">
        <v>605</v>
      </c>
    </row>
    <row r="33" spans="1:9" ht="15" customHeight="1" x14ac:dyDescent="0.25">
      <c r="A33" s="11" t="s">
        <v>709</v>
      </c>
      <c r="B33" s="33" t="str">
        <f>IFERROR(INDEX(PitRawData!$A$1:$AMK$3,3,MATCH(G33,PitRawData!$A$1:$AMK$1,0)),"NO DATA")</f>
        <v>NO DATA</v>
      </c>
      <c r="C33" s="33" t="str">
        <f>IFERROR(INDEX(PitRawData!$A$1:$AMK$3,3,MATCH(H33,PitRawData!$A$1:$AMK$1,0)),"NO DATA")</f>
        <v>NO DATA</v>
      </c>
      <c r="D33" s="33" t="str">
        <f>IFERROR(INDEX(PitRawData!$A$1:$AMK$3,3,MATCH(I33,PitRawData!$A$1:$AMK$1,0)),"NO DATA")</f>
        <v>NO DATA</v>
      </c>
      <c r="E33" s="31">
        <f t="shared" si="2"/>
        <v>0</v>
      </c>
      <c r="G33" s="6" t="s">
        <v>650</v>
      </c>
      <c r="H33" s="6" t="s">
        <v>625</v>
      </c>
      <c r="I33" s="6" t="s">
        <v>602</v>
      </c>
    </row>
    <row r="34" spans="1:9" ht="15" customHeight="1" x14ac:dyDescent="0.25">
      <c r="A34" s="11" t="s">
        <v>710</v>
      </c>
      <c r="B34" s="33" t="str">
        <f>IFERROR(INDEX(PitRawData!$A$1:$AMK$3,3,MATCH(G34,PitRawData!$A$1:$AMK$1,0)),"NO DATA")</f>
        <v>NO DATA</v>
      </c>
      <c r="C34" s="33" t="str">
        <f>IFERROR(INDEX(PitRawData!$A$1:$AMK$3,3,MATCH(H34,PitRawData!$A$1:$AMK$1,0)),"NO DATA")</f>
        <v>NO DATA</v>
      </c>
      <c r="D34" s="33" t="str">
        <f>IFERROR(INDEX(PitRawData!$A$1:$AMK$3,3,MATCH(I34,PitRawData!$A$1:$AMK$1,0)),"NO DATA")</f>
        <v>NO DATA</v>
      </c>
      <c r="E34" s="31">
        <f t="shared" si="2"/>
        <v>0</v>
      </c>
      <c r="G34" s="6" t="s">
        <v>651</v>
      </c>
      <c r="H34" s="6" t="s">
        <v>626</v>
      </c>
      <c r="I34" s="6" t="s">
        <v>603</v>
      </c>
    </row>
    <row r="35" spans="1:9" ht="15" customHeight="1" x14ac:dyDescent="0.25">
      <c r="A35" s="11" t="s">
        <v>711</v>
      </c>
      <c r="B35" s="33" t="str">
        <f>IFERROR(INDEX(PitRawData!$A$1:$AMK$3,3,MATCH(G35,PitRawData!$A$1:$AMK$1,0)),"NO DATA")</f>
        <v>NO DATA</v>
      </c>
      <c r="C35" s="33" t="str">
        <f>IFERROR(INDEX(PitRawData!$A$1:$AMK$3,3,MATCH(H35,PitRawData!$A$1:$AMK$1,0)),"NO DATA")</f>
        <v>NO DATA</v>
      </c>
      <c r="D35" s="33" t="str">
        <f>IFERROR(INDEX(PitRawData!$A$1:$AMK$3,3,MATCH(I35,PitRawData!$A$1:$AMK$1,0)),"NO DATA")</f>
        <v>NO DATA</v>
      </c>
      <c r="E35" s="31">
        <f t="shared" si="2"/>
        <v>0</v>
      </c>
      <c r="G35" s="6" t="s">
        <v>655</v>
      </c>
      <c r="H35" s="6" t="s">
        <v>630</v>
      </c>
      <c r="I35" s="6" t="s">
        <v>607</v>
      </c>
    </row>
    <row r="36" spans="1:9" ht="15" customHeight="1" x14ac:dyDescent="0.25">
      <c r="A36" s="11" t="s">
        <v>712</v>
      </c>
      <c r="B36" s="33" t="str">
        <f>IFERROR(INDEX(PitRawData!$A$1:$AMK$3,3,MATCH(G36,PitRawData!$A$1:$AMK$1,0)),"NO DATA")</f>
        <v>NO DATA</v>
      </c>
      <c r="C36" s="33" t="str">
        <f>IFERROR(INDEX(PitRawData!$A$1:$AMK$3,3,MATCH(H36,PitRawData!$A$1:$AMK$1,0)),"NO DATA")</f>
        <v>NO DATA</v>
      </c>
      <c r="D36" s="33" t="str">
        <f>IFERROR(INDEX(PitRawData!$A$1:$AMK$3,3,MATCH(I36,PitRawData!$A$1:$AMK$1,0)),"NO DATA")</f>
        <v>NO DATA</v>
      </c>
      <c r="E36" s="31">
        <f t="shared" si="2"/>
        <v>0</v>
      </c>
      <c r="G36" s="6" t="s">
        <v>654</v>
      </c>
      <c r="H36" s="6" t="s">
        <v>629</v>
      </c>
      <c r="I36" s="6" t="s">
        <v>606</v>
      </c>
    </row>
    <row r="37" spans="1:9" ht="15" customHeight="1" x14ac:dyDescent="0.25"/>
    <row r="38" spans="1:9" ht="21" customHeight="1" x14ac:dyDescent="0.25">
      <c r="B38" s="2" t="s">
        <v>4</v>
      </c>
      <c r="C38" s="2"/>
      <c r="D38" s="3" t="s">
        <v>5</v>
      </c>
      <c r="E38" s="2" t="s">
        <v>2</v>
      </c>
    </row>
    <row r="39" spans="1:9" ht="18" customHeight="1" x14ac:dyDescent="0.25">
      <c r="A39" s="48" t="s">
        <v>15</v>
      </c>
      <c r="B39" s="4" t="s">
        <v>0</v>
      </c>
      <c r="C39" s="4" t="s">
        <v>1</v>
      </c>
      <c r="D39" s="2"/>
      <c r="E39" s="2"/>
    </row>
    <row r="40" spans="1:9" ht="15" customHeight="1" x14ac:dyDescent="0.25">
      <c r="A40" s="7" t="s">
        <v>16</v>
      </c>
      <c r="B40" s="7" t="str">
        <f>IFERROR(INDEX(PitRawData!$A$1:$AMK$3,3,MATCH(G40,PitRawData!$A$1:$AMK$1,0)),"NO DATA")</f>
        <v>NO DATA</v>
      </c>
      <c r="C40" s="25" t="s">
        <v>697</v>
      </c>
      <c r="D40" s="7" t="str">
        <f>IFERROR(INDEX(PitRawData!$A$1:$AMK$3,3,MATCH(I40,PitRawData!$A$1:$AMK$1,0)),"NO DATA")</f>
        <v>NO DATA</v>
      </c>
      <c r="E40" s="24">
        <f>SUM(B40,D40)</f>
        <v>0</v>
      </c>
      <c r="G40" s="6" t="s">
        <v>649</v>
      </c>
      <c r="I40" s="6" t="s">
        <v>601</v>
      </c>
    </row>
    <row r="41" spans="1:9" ht="15" customHeight="1" x14ac:dyDescent="0.25">
      <c r="A41" s="7" t="s">
        <v>17</v>
      </c>
      <c r="B41" s="7" t="str">
        <f>IFERROR(INDEX(PitRawData!$A$1:$AMK$3,3,MATCH(G41,PitRawData!$A$1:$AMK$1,0)),"NO DATA")</f>
        <v>NO DATA</v>
      </c>
      <c r="C41" s="25" t="s">
        <v>697</v>
      </c>
      <c r="D41" s="7" t="str">
        <f>IFERROR(INDEX(PitRawData!$A$1:$AMK$3,3,MATCH(I41,PitRawData!$A$1:$AMK$1,0)),"NO DATA")</f>
        <v>NO DATA</v>
      </c>
      <c r="E41" s="24">
        <f>SUM(B41,D41)</f>
        <v>0</v>
      </c>
      <c r="G41" s="6" t="s">
        <v>648</v>
      </c>
      <c r="I41" s="6" t="s">
        <v>600</v>
      </c>
    </row>
    <row r="42" spans="1:9" x14ac:dyDescent="0.25">
      <c r="A42" s="20"/>
    </row>
  </sheetData>
  <sheetProtection algorithmName="SHA-512" hashValue="2l3sw8aM14i7onE0q1CUiiJV5Ky/zfHAEK0xi9TpO30M7LWr2p1Nw8tzFdq+KPk5ItLyUjmiQ7onB7/oxbziKA==" saltValue="vQZpnpnVX1Dd2Q1ef2Z+Rg==" spinCount="100000" sheet="1" objects="1" scenarios="1"/>
  <conditionalFormatting sqref="A3:F3">
    <cfRule type="expression" dxfId="15" priority="1">
      <formula>$A$3="PASTE DATA INTO THE 'PitRawData' TAB TO POPULATE THIS TEMPLATE."</formula>
    </cfRule>
  </conditionalFormatting>
  <pageMargins left="0.25" right="0.25" top="0.75" bottom="0.75" header="0.3" footer="0.3"/>
  <pageSetup orientation="landscape" r:id="rId1"/>
  <rowBreaks count="1" manualBreakCount="1">
    <brk id="18" max="4" man="1"/>
  </rowBreaks>
  <ignoredErrors>
    <ignoredError sqref="B11:D1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D6A6-DF58-4E88-9FB8-FD1072F07089}">
  <sheetPr codeName="Sheet13"/>
  <dimension ref="A1:K35"/>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6384" width="9.140625" style="6" hidden="1"/>
  </cols>
  <sheetData>
    <row r="1" spans="1:11" ht="21" customHeight="1" x14ac:dyDescent="0.25">
      <c r="A1" s="39" t="s">
        <v>726</v>
      </c>
      <c r="B1" s="46"/>
      <c r="C1" s="46"/>
      <c r="D1" s="46"/>
      <c r="E1" s="46"/>
      <c r="F1" s="46"/>
      <c r="G1" s="37"/>
    </row>
    <row r="2" spans="1:11" ht="18" customHeight="1" x14ac:dyDescent="0.25">
      <c r="A2" s="45" t="str">
        <f>HeadingLine2</f>
        <v/>
      </c>
      <c r="B2" s="46"/>
      <c r="C2" s="46"/>
      <c r="D2" s="46"/>
      <c r="E2" s="46"/>
      <c r="F2" s="46"/>
      <c r="G2" s="37"/>
    </row>
    <row r="3" spans="1:11" ht="18" customHeight="1" x14ac:dyDescent="0.25">
      <c r="A3" s="45" t="str">
        <f>HeadingLine3</f>
        <v>PASTE DATA INTO THE 'PitRawData' TAB TO POPULATE THIS TEMPLATE.</v>
      </c>
      <c r="B3" s="46"/>
      <c r="C3" s="46"/>
      <c r="D3" s="46"/>
      <c r="E3" s="46"/>
      <c r="F3" s="46"/>
      <c r="G3" s="37"/>
    </row>
    <row r="4" spans="1:11" ht="18" customHeight="1" x14ac:dyDescent="0.25">
      <c r="A4" s="45" t="str">
        <f>HeadingLine4</f>
        <v/>
      </c>
      <c r="B4" s="46"/>
      <c r="C4" s="46"/>
      <c r="D4" s="46"/>
      <c r="E4" s="46"/>
      <c r="F4" s="46"/>
      <c r="G4" s="37"/>
    </row>
    <row r="5" spans="1:11" ht="18" customHeight="1" x14ac:dyDescent="0.25">
      <c r="A5" s="41"/>
      <c r="B5" s="36"/>
      <c r="C5" s="37"/>
      <c r="D5" s="37"/>
      <c r="E5" s="37"/>
      <c r="F5" s="37"/>
      <c r="G5" s="37"/>
    </row>
    <row r="6" spans="1:11" ht="18" customHeight="1" x14ac:dyDescent="0.3">
      <c r="A6" s="47" t="s">
        <v>693</v>
      </c>
      <c r="B6" s="37"/>
      <c r="C6" s="37"/>
      <c r="D6" s="37"/>
      <c r="E6" s="37"/>
      <c r="F6" s="37"/>
      <c r="G6" s="37"/>
    </row>
    <row r="7" spans="1:11" ht="15" customHeight="1" x14ac:dyDescent="0.25">
      <c r="A7" s="1"/>
      <c r="B7" s="37"/>
      <c r="C7" s="37"/>
      <c r="D7" s="37"/>
      <c r="E7" s="37"/>
      <c r="F7" s="37"/>
      <c r="G7" s="37"/>
    </row>
    <row r="8" spans="1:11" ht="21" customHeight="1" x14ac:dyDescent="0.25">
      <c r="B8" s="2" t="s">
        <v>4</v>
      </c>
      <c r="C8" s="2"/>
      <c r="D8" s="2"/>
      <c r="E8" s="3" t="s">
        <v>5</v>
      </c>
      <c r="F8" s="2" t="s">
        <v>2</v>
      </c>
      <c r="G8" s="22"/>
    </row>
    <row r="9" spans="1:11" ht="18" customHeight="1" x14ac:dyDescent="0.25">
      <c r="A9" s="48" t="s">
        <v>3</v>
      </c>
      <c r="B9" s="4" t="s">
        <v>0</v>
      </c>
      <c r="C9" s="4" t="s">
        <v>1</v>
      </c>
      <c r="D9" s="4" t="s">
        <v>719</v>
      </c>
      <c r="E9" s="2"/>
      <c r="F9" s="2"/>
      <c r="G9" s="38"/>
    </row>
    <row r="10" spans="1:11" ht="15" customHeight="1" x14ac:dyDescent="0.25">
      <c r="A10" s="7" t="s">
        <v>6</v>
      </c>
      <c r="B10" s="12" t="str">
        <f>IFERROR(INDEX(PitRawData!$A$1:$AMK$3,3,MATCH(H10,PitRawData!$A$1:$AMK$1,0)),"NO DATA")</f>
        <v>NO DATA</v>
      </c>
      <c r="C10" s="12" t="str">
        <f>IFERROR(INDEX(PitRawData!$A$1:$AMK$3,3,MATCH(I10,PitRawData!$A$1:$AMK$1,0)),"NO DATA")</f>
        <v>NO DATA</v>
      </c>
      <c r="D10" s="7" t="str">
        <f>IFERROR(INDEX(PitRawData!$A$1:$AMK$3,3,MATCH(J10,PitRawData!$A$1:$AMK$1,0)),"NO DATA")</f>
        <v>NO DATA</v>
      </c>
      <c r="E10" s="12" t="str">
        <f>IFERROR(INDEX(PitRawData!$A$1:$AMK$3,3,MATCH(K10,PitRawData!$A$1:$AMK$1,0)),"NO DATA")</f>
        <v>NO DATA</v>
      </c>
      <c r="F10" s="9">
        <f>SUM(B10:E10)</f>
        <v>0</v>
      </c>
      <c r="G10" s="38"/>
      <c r="H10" s="17" t="s">
        <v>598</v>
      </c>
      <c r="I10" s="17" t="s">
        <v>580</v>
      </c>
      <c r="J10" s="6" t="s">
        <v>563</v>
      </c>
      <c r="K10" s="17" t="s">
        <v>545</v>
      </c>
    </row>
    <row r="11" spans="1:11" ht="15" customHeight="1" x14ac:dyDescent="0.25">
      <c r="A11" s="7" t="s">
        <v>689</v>
      </c>
      <c r="B11" s="12" t="str">
        <f>IFERROR(INDEX(PitRawData!$A$1:$AMK$3,3,MATCH(H11,PitRawData!$A$1:$AMK$1,0)),"NO DATA")</f>
        <v>NO DATA</v>
      </c>
      <c r="C11" s="12" t="str">
        <f>IFERROR(INDEX(PitRawData!$A$1:$AMK$3,3,MATCH(I11,PitRawData!$A$1:$AMK$1,0)),"NO DATA")</f>
        <v>NO DATA</v>
      </c>
      <c r="D11" s="7" t="str">
        <f>IFERROR(INDEX(PitRawData!$A$1:$AMK$3,3,MATCH(J11,PitRawData!$A$1:$AMK$1,0)),"NO DATA")</f>
        <v>NO DATA</v>
      </c>
      <c r="E11" s="12" t="str">
        <f>IFERROR(INDEX(PitRawData!$A$1:$AMK$3,3,MATCH(K11,PitRawData!$A$1:$AMK$1,0)),"NO DATA")</f>
        <v>NO DATA</v>
      </c>
      <c r="F11" s="9">
        <f>SUM(B11:E11)</f>
        <v>0</v>
      </c>
      <c r="G11" s="38"/>
      <c r="H11" s="17" t="s">
        <v>597</v>
      </c>
      <c r="I11" s="17" t="s">
        <v>579</v>
      </c>
      <c r="J11" s="6" t="s">
        <v>562</v>
      </c>
      <c r="K11" s="17" t="s">
        <v>544</v>
      </c>
    </row>
    <row r="12" spans="1:11" ht="15" customHeight="1" x14ac:dyDescent="0.25">
      <c r="G12" s="38"/>
    </row>
    <row r="13" spans="1:11" ht="15" customHeight="1" x14ac:dyDescent="0.25">
      <c r="B13" s="2" t="s">
        <v>4</v>
      </c>
      <c r="C13" s="2"/>
      <c r="D13" s="2"/>
      <c r="E13" s="3" t="s">
        <v>5</v>
      </c>
      <c r="F13" s="2" t="s">
        <v>2</v>
      </c>
      <c r="G13" s="38"/>
    </row>
    <row r="14" spans="1:11" ht="18" customHeight="1" x14ac:dyDescent="0.25">
      <c r="A14" s="48" t="s">
        <v>713</v>
      </c>
      <c r="B14" s="4" t="s">
        <v>0</v>
      </c>
      <c r="C14" s="4" t="s">
        <v>1</v>
      </c>
      <c r="D14" s="4" t="s">
        <v>719</v>
      </c>
      <c r="E14" s="2"/>
      <c r="F14" s="2"/>
      <c r="G14" s="38"/>
    </row>
    <row r="15" spans="1:11" ht="15" customHeight="1" x14ac:dyDescent="0.25">
      <c r="A15" s="7" t="s">
        <v>698</v>
      </c>
      <c r="B15" s="7" t="str">
        <f>IFERROR(INDEX(PitRawData!$A$1:$AMK$3,3,MATCH(H15,PitRawData!$A$1:$AMK$1,0)),"NO DATA")</f>
        <v>NO DATA</v>
      </c>
      <c r="C15" s="7" t="str">
        <f>IFERROR(INDEX(PitRawData!$A$1:$AMK$3,3,MATCH(I15,PitRawData!$A$1:$AMK$1,0)),"NO DATA")</f>
        <v>NO DATA</v>
      </c>
      <c r="D15" s="7" t="str">
        <f>IFERROR(INDEX(PitRawData!$A$1:$AMK$3,3,MATCH(J15,PitRawData!$A$1:$AMK$1,0)),"NO DATA")</f>
        <v>NO DATA</v>
      </c>
      <c r="E15" s="7" t="str">
        <f>IFERROR(INDEX(PitRawData!$A$1:$AMK$3,3,MATCH(K15,PitRawData!$A$1:$AMK$1,0)),"NO DATA")</f>
        <v>NO DATA</v>
      </c>
      <c r="F15" s="9">
        <f t="shared" ref="F15:F29" si="0">SUM(B15:E15)</f>
        <v>0</v>
      </c>
      <c r="H15" s="6" t="s">
        <v>594</v>
      </c>
      <c r="I15" s="6" t="s">
        <v>576</v>
      </c>
      <c r="J15" s="6" t="s">
        <v>559</v>
      </c>
      <c r="K15" s="6" t="s">
        <v>541</v>
      </c>
    </row>
    <row r="16" spans="1:11" ht="15" customHeight="1" x14ac:dyDescent="0.25">
      <c r="A16" s="7" t="s">
        <v>699</v>
      </c>
      <c r="B16" s="7" t="str">
        <f>IFERROR(INDEX(PitRawData!$A$1:$AMK$3,3,MATCH(H16,PitRawData!$A$1:$AMK$1,0)),"NO DATA")</f>
        <v>NO DATA</v>
      </c>
      <c r="C16" s="7" t="str">
        <f>IFERROR(INDEX(PitRawData!$A$1:$AMK$3,3,MATCH(I16,PitRawData!$A$1:$AMK$1,0)),"NO DATA")</f>
        <v>NO DATA</v>
      </c>
      <c r="D16" s="7" t="str">
        <f>IFERROR(INDEX(PitRawData!$A$1:$AMK$3,3,MATCH(J16,PitRawData!$A$1:$AMK$1,0)),"NO DATA")</f>
        <v>NO DATA</v>
      </c>
      <c r="E16" s="7" t="str">
        <f>IFERROR(INDEX(PitRawData!$A$1:$AMK$3,3,MATCH(K16,PitRawData!$A$1:$AMK$1,0)),"NO DATA")</f>
        <v>NO DATA</v>
      </c>
      <c r="F16" s="9">
        <f t="shared" si="0"/>
        <v>0</v>
      </c>
      <c r="H16" s="6" t="s">
        <v>595</v>
      </c>
      <c r="I16" s="6" t="s">
        <v>577</v>
      </c>
      <c r="J16" s="6" t="s">
        <v>560</v>
      </c>
      <c r="K16" s="6" t="s">
        <v>542</v>
      </c>
    </row>
    <row r="17" spans="1:11" ht="15" customHeight="1" x14ac:dyDescent="0.25">
      <c r="A17" s="7" t="s">
        <v>700</v>
      </c>
      <c r="B17" s="7" t="str">
        <f>IFERROR(INDEX(PitRawData!$A$1:$AMK$3,3,MATCH(H17,PitRawData!$A$1:$AMK$1,0)),"NO DATA")</f>
        <v>NO DATA</v>
      </c>
      <c r="C17" s="7" t="str">
        <f>IFERROR(INDEX(PitRawData!$A$1:$AMK$3,3,MATCH(I17,PitRawData!$A$1:$AMK$1,0)),"NO DATA")</f>
        <v>NO DATA</v>
      </c>
      <c r="D17" s="7" t="str">
        <f>IFERROR(INDEX(PitRawData!$A$1:$AMK$3,3,MATCH(J17,PitRawData!$A$1:$AMK$1,0)),"NO DATA")</f>
        <v>NO DATA</v>
      </c>
      <c r="E17" s="7" t="str">
        <f>IFERROR(INDEX(PitRawData!$A$1:$AMK$3,3,MATCH(K17,PitRawData!$A$1:$AMK$1,0)),"NO DATA")</f>
        <v>NO DATA</v>
      </c>
      <c r="F17" s="9">
        <f t="shared" si="0"/>
        <v>0</v>
      </c>
      <c r="H17" s="6" t="s">
        <v>592</v>
      </c>
      <c r="I17" s="6" t="s">
        <v>574</v>
      </c>
      <c r="J17" s="6" t="s">
        <v>557</v>
      </c>
      <c r="K17" s="6" t="s">
        <v>539</v>
      </c>
    </row>
    <row r="18" spans="1:11" ht="15" customHeight="1" x14ac:dyDescent="0.25">
      <c r="A18" s="7" t="s">
        <v>701</v>
      </c>
      <c r="B18" s="7" t="str">
        <f>IFERROR(INDEX(PitRawData!$A$1:$AMK$3,3,MATCH(H18,PitRawData!$A$1:$AMK$1,0)),"NO DATA")</f>
        <v>NO DATA</v>
      </c>
      <c r="C18" s="7" t="str">
        <f>IFERROR(INDEX(PitRawData!$A$1:$AMK$3,3,MATCH(I18,PitRawData!$A$1:$AMK$1,0)),"NO DATA")</f>
        <v>NO DATA</v>
      </c>
      <c r="D18" s="7" t="str">
        <f>IFERROR(INDEX(PitRawData!$A$1:$AMK$3,3,MATCH(J18,PitRawData!$A$1:$AMK$1,0)),"NO DATA")</f>
        <v>NO DATA</v>
      </c>
      <c r="E18" s="7" t="str">
        <f>IFERROR(INDEX(PitRawData!$A$1:$AMK$3,3,MATCH(K18,PitRawData!$A$1:$AMK$1,0)),"NO DATA")</f>
        <v>NO DATA</v>
      </c>
      <c r="F18" s="9">
        <f t="shared" si="0"/>
        <v>0</v>
      </c>
      <c r="H18" s="6" t="s">
        <v>593</v>
      </c>
      <c r="I18" s="6" t="s">
        <v>575</v>
      </c>
      <c r="J18" s="6" t="s">
        <v>558</v>
      </c>
      <c r="K18" s="6" t="s">
        <v>540</v>
      </c>
    </row>
    <row r="19" spans="1:11" ht="15" customHeight="1" x14ac:dyDescent="0.25">
      <c r="A19" s="7" t="s">
        <v>702</v>
      </c>
      <c r="B19" s="7" t="str">
        <f>IFERROR(INDEX(PitRawData!$A$1:$AMK$3,3,MATCH(H19,PitRawData!$A$1:$AMK$1,0)),"NO DATA")</f>
        <v>NO DATA</v>
      </c>
      <c r="C19" s="7" t="str">
        <f>IFERROR(INDEX(PitRawData!$A$1:$AMK$3,3,MATCH(I19,PitRawData!$A$1:$AMK$1,0)),"NO DATA")</f>
        <v>NO DATA</v>
      </c>
      <c r="D19" s="7" t="str">
        <f>IFERROR(INDEX(PitRawData!$A$1:$AMK$3,3,MATCH(J19,PitRawData!$A$1:$AMK$1,0)),"NO DATA")</f>
        <v>NO DATA</v>
      </c>
      <c r="E19" s="7" t="str">
        <f>IFERROR(INDEX(PitRawData!$A$1:$AMK$3,3,MATCH(K19,PitRawData!$A$1:$AMK$1,0)),"NO DATA")</f>
        <v>NO DATA</v>
      </c>
      <c r="F19" s="9">
        <f t="shared" si="0"/>
        <v>0</v>
      </c>
      <c r="H19" s="6" t="s">
        <v>590</v>
      </c>
      <c r="I19" s="6" t="s">
        <v>572</v>
      </c>
      <c r="J19" s="6" t="s">
        <v>555</v>
      </c>
      <c r="K19" s="6" t="s">
        <v>537</v>
      </c>
    </row>
    <row r="20" spans="1:11" ht="15" customHeight="1" x14ac:dyDescent="0.25">
      <c r="A20" s="7" t="s">
        <v>703</v>
      </c>
      <c r="B20" s="7" t="str">
        <f>IFERROR(INDEX(PitRawData!$A$1:$AMK$3,3,MATCH(H20,PitRawData!$A$1:$AMK$1,0)),"NO DATA")</f>
        <v>NO DATA</v>
      </c>
      <c r="C20" s="7" t="str">
        <f>IFERROR(INDEX(PitRawData!$A$1:$AMK$3,3,MATCH(I20,PitRawData!$A$1:$AMK$1,0)),"NO DATA")</f>
        <v>NO DATA</v>
      </c>
      <c r="D20" s="7" t="str">
        <f>IFERROR(INDEX(PitRawData!$A$1:$AMK$3,3,MATCH(J20,PitRawData!$A$1:$AMK$1,0)),"NO DATA")</f>
        <v>NO DATA</v>
      </c>
      <c r="E20" s="7" t="str">
        <f>IFERROR(INDEX(PitRawData!$A$1:$AMK$3,3,MATCH(K20,PitRawData!$A$1:$AMK$1,0)),"NO DATA")</f>
        <v>NO DATA</v>
      </c>
      <c r="F20" s="9">
        <f t="shared" si="0"/>
        <v>0</v>
      </c>
      <c r="H20" s="6" t="s">
        <v>591</v>
      </c>
      <c r="I20" s="6" t="s">
        <v>573</v>
      </c>
      <c r="J20" s="6" t="s">
        <v>556</v>
      </c>
      <c r="K20" s="6" t="s">
        <v>538</v>
      </c>
    </row>
    <row r="21" spans="1:11" ht="15" customHeight="1" x14ac:dyDescent="0.25">
      <c r="A21" s="7" t="s">
        <v>704</v>
      </c>
      <c r="B21" s="7" t="str">
        <f>IFERROR(INDEX(PitRawData!$A$1:$AMK$3,3,MATCH(H21,PitRawData!$A$1:$AMK$1,0)),"NO DATA")</f>
        <v>NO DATA</v>
      </c>
      <c r="C21" s="7" t="str">
        <f>IFERROR(INDEX(PitRawData!$A$1:$AMK$3,3,MATCH(I21,PitRawData!$A$1:$AMK$1,0)),"NO DATA")</f>
        <v>NO DATA</v>
      </c>
      <c r="D21" s="7" t="str">
        <f>IFERROR(INDEX(PitRawData!$A$1:$AMK$3,3,MATCH(J21,PitRawData!$A$1:$AMK$1,0)),"NO DATA")</f>
        <v>NO DATA</v>
      </c>
      <c r="E21" s="7" t="str">
        <f>IFERROR(INDEX(PitRawData!$A$1:$AMK$3,3,MATCH(K21,PitRawData!$A$1:$AMK$1,0)),"NO DATA")</f>
        <v>NO DATA</v>
      </c>
      <c r="F21" s="9">
        <f t="shared" si="0"/>
        <v>0</v>
      </c>
      <c r="H21" s="6" t="s">
        <v>596</v>
      </c>
      <c r="I21" s="6" t="s">
        <v>578</v>
      </c>
      <c r="J21" s="6" t="s">
        <v>561</v>
      </c>
      <c r="K21" s="6" t="s">
        <v>543</v>
      </c>
    </row>
    <row r="22" spans="1:11" ht="15" customHeight="1" x14ac:dyDescent="0.25">
      <c r="A22" s="7" t="s">
        <v>705</v>
      </c>
      <c r="B22" s="7" t="str">
        <f>IFERROR(INDEX(PitRawData!$A$1:$AMK$3,3,MATCH(H22,PitRawData!$A$1:$AMK$1,0)),"NO DATA")</f>
        <v>NO DATA</v>
      </c>
      <c r="C22" s="7" t="str">
        <f>IFERROR(INDEX(PitRawData!$A$1:$AMK$3,3,MATCH(I22,PitRawData!$A$1:$AMK$1,0)),"NO DATA")</f>
        <v>NO DATA</v>
      </c>
      <c r="D22" s="7" t="str">
        <f>IFERROR(INDEX(PitRawData!$A$1:$AMK$3,3,MATCH(J22,PitRawData!$A$1:$AMK$1,0)),"NO DATA")</f>
        <v>NO DATA</v>
      </c>
      <c r="E22" s="7" t="str">
        <f>IFERROR(INDEX(PitRawData!$A$1:$AMK$3,3,MATCH(K22,PitRawData!$A$1:$AMK$1,0)),"NO DATA")</f>
        <v>NO DATA</v>
      </c>
      <c r="F22" s="9">
        <f t="shared" si="0"/>
        <v>0</v>
      </c>
      <c r="H22" s="6" t="s">
        <v>588</v>
      </c>
      <c r="I22" s="6" t="s">
        <v>570</v>
      </c>
      <c r="J22" s="6" t="s">
        <v>553</v>
      </c>
      <c r="K22" s="6" t="s">
        <v>535</v>
      </c>
    </row>
    <row r="23" spans="1:11" ht="15" customHeight="1" x14ac:dyDescent="0.25">
      <c r="A23" s="7" t="s">
        <v>706</v>
      </c>
      <c r="B23" s="7" t="str">
        <f>IFERROR(INDEX(PitRawData!$A$1:$AMK$3,3,MATCH(H23,PitRawData!$A$1:$AMK$1,0)),"NO DATA")</f>
        <v>NO DATA</v>
      </c>
      <c r="C23" s="7" t="str">
        <f>IFERROR(INDEX(PitRawData!$A$1:$AMK$3,3,MATCH(I23,PitRawData!$A$1:$AMK$1,0)),"NO DATA")</f>
        <v>NO DATA</v>
      </c>
      <c r="D23" s="7" t="str">
        <f>IFERROR(INDEX(PitRawData!$A$1:$AMK$3,3,MATCH(J23,PitRawData!$A$1:$AMK$1,0)),"NO DATA")</f>
        <v>NO DATA</v>
      </c>
      <c r="E23" s="7" t="str">
        <f>IFERROR(INDEX(PitRawData!$A$1:$AMK$3,3,MATCH(K23,PitRawData!$A$1:$AMK$1,0)),"NO DATA")</f>
        <v>NO DATA</v>
      </c>
      <c r="F23" s="9">
        <f t="shared" si="0"/>
        <v>0</v>
      </c>
      <c r="H23" s="6" t="s">
        <v>589</v>
      </c>
      <c r="I23" s="6" t="s">
        <v>571</v>
      </c>
      <c r="J23" s="6" t="s">
        <v>554</v>
      </c>
      <c r="K23" s="6" t="s">
        <v>536</v>
      </c>
    </row>
    <row r="24" spans="1:11" ht="15" customHeight="1" x14ac:dyDescent="0.25">
      <c r="A24" s="7" t="s">
        <v>707</v>
      </c>
      <c r="B24" s="7" t="str">
        <f>IFERROR(INDEX(PitRawData!$A$1:$AMK$3,3,MATCH(H24,PitRawData!$A$1:$AMK$1,0)),"NO DATA")</f>
        <v>NO DATA</v>
      </c>
      <c r="C24" s="7" t="str">
        <f>IFERROR(INDEX(PitRawData!$A$1:$AMK$3,3,MATCH(I24,PitRawData!$A$1:$AMK$1,0)),"NO DATA")</f>
        <v>NO DATA</v>
      </c>
      <c r="D24" s="7" t="str">
        <f>IFERROR(INDEX(PitRawData!$A$1:$AMK$3,3,MATCH(J24,PitRawData!$A$1:$AMK$1,0)),"NO DATA")</f>
        <v>NO DATA</v>
      </c>
      <c r="E24" s="7" t="str">
        <f>IFERROR(INDEX(PitRawData!$A$1:$AMK$3,3,MATCH(K24,PitRawData!$A$1:$AMK$1,0)),"NO DATA")</f>
        <v>NO DATA</v>
      </c>
      <c r="F24" s="9">
        <f t="shared" si="0"/>
        <v>0</v>
      </c>
      <c r="H24" s="6" t="s">
        <v>584</v>
      </c>
      <c r="I24" s="6" t="s">
        <v>566</v>
      </c>
      <c r="J24" s="6" t="s">
        <v>549</v>
      </c>
      <c r="K24" s="6" t="s">
        <v>531</v>
      </c>
    </row>
    <row r="25" spans="1:11" ht="15" customHeight="1" x14ac:dyDescent="0.25">
      <c r="A25" s="7" t="s">
        <v>708</v>
      </c>
      <c r="B25" s="7" t="str">
        <f>IFERROR(INDEX(PitRawData!$A$1:$AMK$3,3,MATCH(H25,PitRawData!$A$1:$AMK$1,0)),"NO DATA")</f>
        <v>NO DATA</v>
      </c>
      <c r="C25" s="7" t="str">
        <f>IFERROR(INDEX(PitRawData!$A$1:$AMK$3,3,MATCH(I25,PitRawData!$A$1:$AMK$1,0)),"NO DATA")</f>
        <v>NO DATA</v>
      </c>
      <c r="D25" s="7" t="str">
        <f>IFERROR(INDEX(PitRawData!$A$1:$AMK$3,3,MATCH(J25,PitRawData!$A$1:$AMK$1,0)),"NO DATA")</f>
        <v>NO DATA</v>
      </c>
      <c r="E25" s="7" t="str">
        <f>IFERROR(INDEX(PitRawData!$A$1:$AMK$3,3,MATCH(K25,PitRawData!$A$1:$AMK$1,0)),"NO DATA")</f>
        <v>NO DATA</v>
      </c>
      <c r="F25" s="9">
        <f t="shared" si="0"/>
        <v>0</v>
      </c>
      <c r="H25" s="6" t="s">
        <v>585</v>
      </c>
      <c r="I25" s="6" t="s">
        <v>567</v>
      </c>
      <c r="J25" s="6" t="s">
        <v>550</v>
      </c>
      <c r="K25" s="6" t="s">
        <v>532</v>
      </c>
    </row>
    <row r="26" spans="1:11" ht="15" customHeight="1" x14ac:dyDescent="0.25">
      <c r="A26" s="7" t="s">
        <v>709</v>
      </c>
      <c r="B26" s="7" t="str">
        <f>IFERROR(INDEX(PitRawData!$A$1:$AMK$3,3,MATCH(H26,PitRawData!$A$1:$AMK$1,0)),"NO DATA")</f>
        <v>NO DATA</v>
      </c>
      <c r="C26" s="7" t="str">
        <f>IFERROR(INDEX(PitRawData!$A$1:$AMK$3,3,MATCH(I26,PitRawData!$A$1:$AMK$1,0)),"NO DATA")</f>
        <v>NO DATA</v>
      </c>
      <c r="D26" s="7" t="str">
        <f>IFERROR(INDEX(PitRawData!$A$1:$AMK$3,3,MATCH(J26,PitRawData!$A$1:$AMK$1,0)),"NO DATA")</f>
        <v>NO DATA</v>
      </c>
      <c r="E26" s="7" t="str">
        <f>IFERROR(INDEX(PitRawData!$A$1:$AMK$3,3,MATCH(K26,PitRawData!$A$1:$AMK$1,0)),"NO DATA")</f>
        <v>NO DATA</v>
      </c>
      <c r="F26" s="9">
        <f t="shared" si="0"/>
        <v>0</v>
      </c>
      <c r="H26" s="6" t="s">
        <v>582</v>
      </c>
      <c r="I26" s="6" t="s">
        <v>564</v>
      </c>
      <c r="J26" s="6" t="s">
        <v>547</v>
      </c>
      <c r="K26" s="6" t="s">
        <v>529</v>
      </c>
    </row>
    <row r="27" spans="1:11" ht="15" customHeight="1" x14ac:dyDescent="0.25">
      <c r="A27" s="7" t="s">
        <v>710</v>
      </c>
      <c r="B27" s="7" t="str">
        <f>IFERROR(INDEX(PitRawData!$A$1:$AMK$3,3,MATCH(H27,PitRawData!$A$1:$AMK$1,0)),"NO DATA")</f>
        <v>NO DATA</v>
      </c>
      <c r="C27" s="7" t="str">
        <f>IFERROR(INDEX(PitRawData!$A$1:$AMK$3,3,MATCH(I27,PitRawData!$A$1:$AMK$1,0)),"NO DATA")</f>
        <v>NO DATA</v>
      </c>
      <c r="D27" s="7" t="str">
        <f>IFERROR(INDEX(PitRawData!$A$1:$AMK$3,3,MATCH(J27,PitRawData!$A$1:$AMK$1,0)),"NO DATA")</f>
        <v>NO DATA</v>
      </c>
      <c r="E27" s="7" t="str">
        <f>IFERROR(INDEX(PitRawData!$A$1:$AMK$3,3,MATCH(K27,PitRawData!$A$1:$AMK$1,0)),"NO DATA")</f>
        <v>NO DATA</v>
      </c>
      <c r="F27" s="9">
        <f t="shared" si="0"/>
        <v>0</v>
      </c>
      <c r="H27" s="6" t="s">
        <v>583</v>
      </c>
      <c r="I27" s="6" t="s">
        <v>565</v>
      </c>
      <c r="J27" s="6" t="s">
        <v>548</v>
      </c>
      <c r="K27" s="6" t="s">
        <v>530</v>
      </c>
    </row>
    <row r="28" spans="1:11" ht="15" customHeight="1" x14ac:dyDescent="0.25">
      <c r="A28" s="7" t="s">
        <v>711</v>
      </c>
      <c r="B28" s="7" t="str">
        <f>IFERROR(INDEX(PitRawData!$A$1:$AMK$3,3,MATCH(H28,PitRawData!$A$1:$AMK$1,0)),"NO DATA")</f>
        <v>NO DATA</v>
      </c>
      <c r="C28" s="7" t="str">
        <f>IFERROR(INDEX(PitRawData!$A$1:$AMK$3,3,MATCH(I28,PitRawData!$A$1:$AMK$1,0)),"NO DATA")</f>
        <v>NO DATA</v>
      </c>
      <c r="D28" s="7" t="str">
        <f>IFERROR(INDEX(PitRawData!$A$1:$AMK$3,3,MATCH(J28,PitRawData!$A$1:$AMK$1,0)),"NO DATA")</f>
        <v>NO DATA</v>
      </c>
      <c r="E28" s="7" t="str">
        <f>IFERROR(INDEX(PitRawData!$A$1:$AMK$3,3,MATCH(K28,PitRawData!$A$1:$AMK$1,0)),"NO DATA")</f>
        <v>NO DATA</v>
      </c>
      <c r="F28" s="9">
        <f t="shared" si="0"/>
        <v>0</v>
      </c>
      <c r="H28" s="6" t="s">
        <v>587</v>
      </c>
      <c r="I28" s="6" t="s">
        <v>569</v>
      </c>
      <c r="J28" s="6" t="s">
        <v>552</v>
      </c>
      <c r="K28" s="6" t="s">
        <v>534</v>
      </c>
    </row>
    <row r="29" spans="1:11" ht="15" customHeight="1" x14ac:dyDescent="0.25">
      <c r="A29" s="7" t="s">
        <v>712</v>
      </c>
      <c r="B29" s="7" t="str">
        <f>IFERROR(INDEX(PitRawData!$A$1:$AMK$3,3,MATCH(H29,PitRawData!$A$1:$AMK$1,0)),"NO DATA")</f>
        <v>NO DATA</v>
      </c>
      <c r="C29" s="7" t="str">
        <f>IFERROR(INDEX(PitRawData!$A$1:$AMK$3,3,MATCH(I29,PitRawData!$A$1:$AMK$1,0)),"NO DATA")</f>
        <v>NO DATA</v>
      </c>
      <c r="D29" s="7" t="str">
        <f>IFERROR(INDEX(PitRawData!$A$1:$AMK$3,3,MATCH(J29,PitRawData!$A$1:$AMK$1,0)),"NO DATA")</f>
        <v>NO DATA</v>
      </c>
      <c r="E29" s="7" t="str">
        <f>IFERROR(INDEX(PitRawData!$A$1:$AMK$3,3,MATCH(K29,PitRawData!$A$1:$AMK$1,0)),"NO DATA")</f>
        <v>NO DATA</v>
      </c>
      <c r="F29" s="9">
        <f t="shared" si="0"/>
        <v>0</v>
      </c>
      <c r="H29" s="6" t="s">
        <v>586</v>
      </c>
      <c r="I29" s="6" t="s">
        <v>568</v>
      </c>
      <c r="J29" s="6" t="s">
        <v>551</v>
      </c>
      <c r="K29" s="6" t="s">
        <v>533</v>
      </c>
    </row>
    <row r="30" spans="1:11" ht="15" customHeight="1" x14ac:dyDescent="0.25"/>
    <row r="31" spans="1:11" ht="21" customHeight="1" x14ac:dyDescent="0.25">
      <c r="B31" s="2" t="s">
        <v>4</v>
      </c>
      <c r="C31" s="2"/>
      <c r="D31" s="2"/>
      <c r="E31" s="3" t="s">
        <v>5</v>
      </c>
      <c r="F31" s="2" t="s">
        <v>2</v>
      </c>
    </row>
    <row r="32" spans="1:11" ht="18" customHeight="1" x14ac:dyDescent="0.25">
      <c r="A32" s="48" t="s">
        <v>15</v>
      </c>
      <c r="B32" s="4" t="s">
        <v>0</v>
      </c>
      <c r="C32" s="4" t="s">
        <v>1</v>
      </c>
      <c r="D32" s="4" t="s">
        <v>719</v>
      </c>
      <c r="E32" s="2"/>
      <c r="F32" s="2"/>
    </row>
    <row r="33" spans="1:11" ht="15" customHeight="1" x14ac:dyDescent="0.25">
      <c r="A33" s="7" t="s">
        <v>17</v>
      </c>
      <c r="B33" s="7" t="str">
        <f>IFERROR(INDEX(PitRawData!$A$1:$AMK$3,3,MATCH(H33,PitRawData!$A$1:$AMK$1,0)),"NO DATA")</f>
        <v>NO DATA</v>
      </c>
      <c r="C33" s="25" t="s">
        <v>697</v>
      </c>
      <c r="D33" s="7" t="str">
        <f>IFERROR(INDEX(PitRawData!$A$1:$AMK$3,3,MATCH(J33,PitRawData!$A$1:$AMK$1,0)),"NO DATA")</f>
        <v>NO DATA</v>
      </c>
      <c r="E33" s="7" t="str">
        <f>IFERROR(INDEX(PitRawData!$A$1:$AMK$3,3,MATCH(K33,PitRawData!$A$1:$AMK$1,0)),"NO DATA")</f>
        <v>NO DATA</v>
      </c>
      <c r="F33" s="9">
        <f>SUM(B33:E33)</f>
        <v>0</v>
      </c>
      <c r="H33" s="6" t="s">
        <v>581</v>
      </c>
      <c r="J33" s="6" t="s">
        <v>546</v>
      </c>
      <c r="K33" s="6" t="s">
        <v>528</v>
      </c>
    </row>
    <row r="34" spans="1:11" ht="15" customHeight="1" x14ac:dyDescent="0.25"/>
    <row r="35" spans="1:11" hidden="1" x14ac:dyDescent="0.25">
      <c r="A35" s="20"/>
    </row>
  </sheetData>
  <sheetProtection algorithmName="SHA-512" hashValue="eindLgqDxS2Zb0EMEIsXIZ9/Vk/5La1S+Mkbbcv6MtvdChdm3yHrZY5+ryaQpomST9dL2qQytjUqVeCl/urK8g==" saltValue="gusslLawB6oO54LYNRzTzA==" spinCount="100000" sheet="1" objects="1" scenarios="1"/>
  <conditionalFormatting sqref="A3:F3">
    <cfRule type="expression" dxfId="14" priority="1">
      <formula>$A$3="PASTE DATA INTO THE 'PitRawData' TAB TO POPULATE THIS TEMPLATE."</formula>
    </cfRule>
  </conditionalFormatting>
  <pageMargins left="0.25" right="0.25" top="0.75" bottom="0.75" header="0.3" footer="0.3"/>
  <pageSetup orientation="landscape" r:id="rId1"/>
  <rowBreaks count="1" manualBreakCount="1">
    <brk id="29"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DF232-508D-4627-9C6C-438D6BF95707}">
  <sheetPr codeName="Sheet14"/>
  <dimension ref="A1:L40"/>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2" width="8.85546875" style="6" hidden="1" customWidth="1"/>
    <col min="13" max="16384" width="9.140625" style="6" hidden="1"/>
  </cols>
  <sheetData>
    <row r="1" spans="1:11" ht="21" customHeight="1" x14ac:dyDescent="0.25">
      <c r="A1" s="39" t="s">
        <v>726</v>
      </c>
      <c r="B1" s="46"/>
      <c r="C1" s="46"/>
      <c r="D1" s="46"/>
      <c r="E1" s="46"/>
      <c r="F1" s="46"/>
      <c r="G1" s="37"/>
    </row>
    <row r="2" spans="1:11" ht="18" customHeight="1" x14ac:dyDescent="0.25">
      <c r="A2" s="45" t="str">
        <f>HeadingLine2</f>
        <v/>
      </c>
      <c r="B2" s="46"/>
      <c r="C2" s="46"/>
      <c r="D2" s="46"/>
      <c r="E2" s="46"/>
      <c r="F2" s="46"/>
      <c r="G2" s="37"/>
    </row>
    <row r="3" spans="1:11" ht="18" customHeight="1" x14ac:dyDescent="0.25">
      <c r="A3" s="45" t="str">
        <f>HeadingLine3</f>
        <v>PASTE DATA INTO THE 'PitRawData' TAB TO POPULATE THIS TEMPLATE.</v>
      </c>
      <c r="B3" s="46"/>
      <c r="C3" s="46"/>
      <c r="D3" s="46"/>
      <c r="E3" s="46"/>
      <c r="F3" s="46"/>
      <c r="G3" s="37"/>
    </row>
    <row r="4" spans="1:11" ht="18" customHeight="1" x14ac:dyDescent="0.25">
      <c r="A4" s="45" t="str">
        <f>HeadingLine4</f>
        <v/>
      </c>
      <c r="B4" s="46"/>
      <c r="C4" s="46"/>
      <c r="D4" s="46"/>
      <c r="E4" s="46"/>
      <c r="F4" s="46"/>
      <c r="G4" s="37"/>
    </row>
    <row r="5" spans="1:11" ht="18" customHeight="1" x14ac:dyDescent="0.25">
      <c r="A5" s="39"/>
      <c r="B5" s="36"/>
      <c r="C5" s="37"/>
      <c r="D5" s="37"/>
      <c r="E5" s="37"/>
      <c r="F5" s="37"/>
      <c r="G5" s="37"/>
    </row>
    <row r="6" spans="1:11" ht="18" customHeight="1" x14ac:dyDescent="0.3">
      <c r="A6" s="47" t="s">
        <v>695</v>
      </c>
      <c r="B6" s="37"/>
      <c r="C6" s="37"/>
      <c r="D6" s="37"/>
      <c r="E6" s="37"/>
      <c r="F6" s="37"/>
      <c r="G6" s="37"/>
    </row>
    <row r="7" spans="1:11" ht="15" customHeight="1" x14ac:dyDescent="0.25">
      <c r="A7" s="1"/>
      <c r="B7" s="37"/>
      <c r="C7" s="37"/>
      <c r="D7" s="37"/>
      <c r="E7" s="37"/>
      <c r="F7" s="37"/>
      <c r="G7" s="37"/>
    </row>
    <row r="8" spans="1:11" ht="21" customHeight="1" x14ac:dyDescent="0.25">
      <c r="B8" s="2" t="s">
        <v>4</v>
      </c>
      <c r="C8" s="2"/>
      <c r="D8" s="2"/>
      <c r="E8" s="3" t="s">
        <v>5</v>
      </c>
      <c r="F8" s="2" t="s">
        <v>2</v>
      </c>
      <c r="G8" s="22"/>
    </row>
    <row r="9" spans="1:11" ht="18" customHeight="1" x14ac:dyDescent="0.25">
      <c r="A9" s="48" t="s">
        <v>3</v>
      </c>
      <c r="B9" s="4" t="s">
        <v>0</v>
      </c>
      <c r="C9" s="4" t="s">
        <v>1</v>
      </c>
      <c r="D9" s="4" t="s">
        <v>719</v>
      </c>
      <c r="E9" s="2"/>
      <c r="F9" s="2"/>
      <c r="G9" s="38"/>
    </row>
    <row r="10" spans="1:11" ht="15" customHeight="1" x14ac:dyDescent="0.25">
      <c r="A10" s="7" t="s">
        <v>6</v>
      </c>
      <c r="B10" s="12" t="str">
        <f>IFERROR(INDEX(PitRawData!$A$1:$AMK$3,3,MATCH(H10,PitRawData!$A$1:$AMK$1,0)),"NO DATA")</f>
        <v>NO DATA</v>
      </c>
      <c r="C10" s="12" t="str">
        <f>IFERROR(INDEX(PitRawData!$A$1:$AMK$3,3,MATCH(I10,PitRawData!$A$1:$AMK$1,0)),"NO DATA")</f>
        <v>NO DATA</v>
      </c>
      <c r="D10" s="7" t="str">
        <f>IFERROR(INDEX(PitRawData!$A$1:$AMK$3,3,MATCH(J10,PitRawData!$A$1:$AMK$1,0)),"NO DATA")</f>
        <v>NO DATA</v>
      </c>
      <c r="E10" s="12" t="str">
        <f>IFERROR(INDEX(PitRawData!$A$1:$AMK$3,3,MATCH(K10,PitRawData!$A$1:$AMK$1,0)),"NO DATA")</f>
        <v>NO DATA</v>
      </c>
      <c r="F10" s="24">
        <f>SUM(B10:E10)</f>
        <v>0</v>
      </c>
      <c r="G10" s="38"/>
      <c r="H10" s="17" t="s">
        <v>526</v>
      </c>
      <c r="I10" s="17" t="s">
        <v>503</v>
      </c>
      <c r="J10" s="6" t="s">
        <v>481</v>
      </c>
      <c r="K10" s="17" t="s">
        <v>458</v>
      </c>
    </row>
    <row r="11" spans="1:11" ht="15" customHeight="1" x14ac:dyDescent="0.25">
      <c r="A11" s="7" t="s">
        <v>19</v>
      </c>
      <c r="B11" s="24">
        <f>SUM(B12:B17)</f>
        <v>0</v>
      </c>
      <c r="C11" s="24">
        <f t="shared" ref="C11:E11" si="0">SUM(C12:C17)</f>
        <v>0</v>
      </c>
      <c r="D11" s="24">
        <f t="shared" si="0"/>
        <v>0</v>
      </c>
      <c r="E11" s="24">
        <f t="shared" si="0"/>
        <v>0</v>
      </c>
      <c r="F11" s="24">
        <f t="shared" ref="F11:F17" si="1">SUM(B11:E11)</f>
        <v>0</v>
      </c>
      <c r="G11" s="38"/>
      <c r="H11" s="17"/>
      <c r="I11" s="17"/>
      <c r="K11" s="17"/>
    </row>
    <row r="12" spans="1:11" ht="15" customHeight="1" x14ac:dyDescent="0.25">
      <c r="A12" s="11" t="s">
        <v>9</v>
      </c>
      <c r="B12" s="12" t="str">
        <f>IFERROR(INDEX(PitRawData!$A$1:$AMK$3,3,MATCH(H12,PitRawData!$A$1:$AMK$1,0)),"NO DATA")</f>
        <v>NO DATA</v>
      </c>
      <c r="C12" s="12" t="str">
        <f>IFERROR(INDEX(PitRawData!$A$1:$AMK$3,3,MATCH(I12,PitRawData!$A$1:$AMK$1,0)),"NO DATA")</f>
        <v>NO DATA</v>
      </c>
      <c r="D12" s="7" t="str">
        <f>IFERROR(INDEX(PitRawData!$A$1:$AMK$3,3,MATCH(J12,PitRawData!$A$1:$AMK$1,0)),"NO DATA")</f>
        <v>NO DATA</v>
      </c>
      <c r="E12" s="12" t="str">
        <f>IFERROR(INDEX(PitRawData!$A$1:$AMK$3,3,MATCH(K12,PitRawData!$A$1:$AMK$1,0)),"NO DATA")</f>
        <v>NO DATA</v>
      </c>
      <c r="F12" s="24">
        <f t="shared" si="1"/>
        <v>0</v>
      </c>
      <c r="G12" s="38"/>
      <c r="H12" s="6" t="s">
        <v>525</v>
      </c>
      <c r="I12" s="6" t="s">
        <v>502</v>
      </c>
      <c r="J12" s="6" t="s">
        <v>480</v>
      </c>
      <c r="K12" s="6" t="s">
        <v>457</v>
      </c>
    </row>
    <row r="13" spans="1:11" ht="15" customHeight="1" x14ac:dyDescent="0.25">
      <c r="A13" s="11" t="s">
        <v>10</v>
      </c>
      <c r="B13" s="12" t="str">
        <f>IFERROR(INDEX(PitRawData!$A$1:$AMK$3,3,MATCH(H13,PitRawData!$A$1:$AMK$1,0)),"NO DATA")</f>
        <v>NO DATA</v>
      </c>
      <c r="C13" s="12" t="str">
        <f>IFERROR(INDEX(PitRawData!$A$1:$AMK$3,3,MATCH(I13,PitRawData!$A$1:$AMK$1,0)),"NO DATA")</f>
        <v>NO DATA</v>
      </c>
      <c r="D13" s="7" t="str">
        <f>IFERROR(INDEX(PitRawData!$A$1:$AMK$3,3,MATCH(J13,PitRawData!$A$1:$AMK$1,0)),"NO DATA")</f>
        <v>NO DATA</v>
      </c>
      <c r="E13" s="12" t="str">
        <f>IFERROR(INDEX(PitRawData!$A$1:$AMK$3,3,MATCH(K13,PitRawData!$A$1:$AMK$1,0)),"NO DATA")</f>
        <v>NO DATA</v>
      </c>
      <c r="F13" s="24">
        <f t="shared" si="1"/>
        <v>0</v>
      </c>
      <c r="H13" s="6" t="s">
        <v>524</v>
      </c>
      <c r="I13" s="6" t="s">
        <v>501</v>
      </c>
      <c r="J13" s="6" t="s">
        <v>479</v>
      </c>
      <c r="K13" s="6" t="s">
        <v>456</v>
      </c>
    </row>
    <row r="14" spans="1:11" ht="15" customHeight="1" x14ac:dyDescent="0.25">
      <c r="A14" s="11" t="s">
        <v>11</v>
      </c>
      <c r="B14" s="12" t="str">
        <f>IFERROR(INDEX(PitRawData!$A$1:$AMK$3,3,MATCH(H14,PitRawData!$A$1:$AMK$1,0)),"NO DATA")</f>
        <v>NO DATA</v>
      </c>
      <c r="C14" s="12" t="str">
        <f>IFERROR(INDEX(PitRawData!$A$1:$AMK$3,3,MATCH(I14,PitRawData!$A$1:$AMK$1,0)),"NO DATA")</f>
        <v>NO DATA</v>
      </c>
      <c r="D14" s="7" t="str">
        <f>IFERROR(INDEX(PitRawData!$A$1:$AMK$3,3,MATCH(J14,PitRawData!$A$1:$AMK$1,0)),"NO DATA")</f>
        <v>NO DATA</v>
      </c>
      <c r="E14" s="12" t="str">
        <f>IFERROR(INDEX(PitRawData!$A$1:$AMK$3,3,MATCH(K14,PitRawData!$A$1:$AMK$1,0)),"NO DATA")</f>
        <v>NO DATA</v>
      </c>
      <c r="F14" s="24">
        <f t="shared" si="1"/>
        <v>0</v>
      </c>
      <c r="H14" s="6" t="s">
        <v>523</v>
      </c>
      <c r="I14" s="6" t="s">
        <v>500</v>
      </c>
      <c r="J14" s="6" t="s">
        <v>478</v>
      </c>
      <c r="K14" s="6" t="s">
        <v>455</v>
      </c>
    </row>
    <row r="15" spans="1:11" x14ac:dyDescent="0.25">
      <c r="A15" s="11" t="s">
        <v>12</v>
      </c>
      <c r="B15" s="12" t="str">
        <f>IFERROR(INDEX(PitRawData!$A$1:$AMK$3,3,MATCH(H15,PitRawData!$A$1:$AMK$1,0)),"NO DATA")</f>
        <v>NO DATA</v>
      </c>
      <c r="C15" s="12" t="str">
        <f>IFERROR(INDEX(PitRawData!$A$1:$AMK$3,3,MATCH(I15,PitRawData!$A$1:$AMK$1,0)),"NO DATA")</f>
        <v>NO DATA</v>
      </c>
      <c r="D15" s="7" t="str">
        <f>IFERROR(INDEX(PitRawData!$A$1:$AMK$3,3,MATCH(J15,PitRawData!$A$1:$AMK$1,0)),"NO DATA")</f>
        <v>NO DATA</v>
      </c>
      <c r="E15" s="12" t="str">
        <f>IFERROR(INDEX(PitRawData!$A$1:$AMK$3,3,MATCH(K15,PitRawData!$A$1:$AMK$1,0)),"NO DATA")</f>
        <v>NO DATA</v>
      </c>
      <c r="F15" s="24">
        <f t="shared" si="1"/>
        <v>0</v>
      </c>
      <c r="H15" s="6" t="s">
        <v>522</v>
      </c>
      <c r="I15" s="6" t="s">
        <v>499</v>
      </c>
      <c r="J15" s="6" t="s">
        <v>477</v>
      </c>
      <c r="K15" s="6" t="s">
        <v>454</v>
      </c>
    </row>
    <row r="16" spans="1:11" ht="15" customHeight="1" x14ac:dyDescent="0.25">
      <c r="A16" s="11" t="s">
        <v>13</v>
      </c>
      <c r="B16" s="12" t="str">
        <f>IFERROR(INDEX(PitRawData!$A$1:$AMK$3,3,MATCH(H16,PitRawData!$A$1:$AMK$1,0)),"NO DATA")</f>
        <v>NO DATA</v>
      </c>
      <c r="C16" s="12" t="str">
        <f>IFERROR(INDEX(PitRawData!$A$1:$AMK$3,3,MATCH(I16,PitRawData!$A$1:$AMK$1,0)),"NO DATA")</f>
        <v>NO DATA</v>
      </c>
      <c r="D16" s="7" t="str">
        <f>IFERROR(INDEX(PitRawData!$A$1:$AMK$3,3,MATCH(J16,PitRawData!$A$1:$AMK$1,0)),"NO DATA")</f>
        <v>NO DATA</v>
      </c>
      <c r="E16" s="12" t="str">
        <f>IFERROR(INDEX(PitRawData!$A$1:$AMK$3,3,MATCH(K16,PitRawData!$A$1:$AMK$1,0)),"NO DATA")</f>
        <v>NO DATA</v>
      </c>
      <c r="F16" s="24">
        <f t="shared" si="1"/>
        <v>0</v>
      </c>
      <c r="H16" s="6" t="s">
        <v>521</v>
      </c>
      <c r="I16" s="6" t="s">
        <v>498</v>
      </c>
      <c r="J16" s="6" t="s">
        <v>476</v>
      </c>
      <c r="K16" s="6" t="s">
        <v>453</v>
      </c>
    </row>
    <row r="17" spans="1:11" ht="15" customHeight="1" x14ac:dyDescent="0.25">
      <c r="A17" s="11" t="s">
        <v>690</v>
      </c>
      <c r="B17" s="12" t="str">
        <f>IFERROR(INDEX(PitRawData!$A$1:$AMK$3,3,MATCH(H17,PitRawData!$A$1:$AMK$1,0)),"NO DATA")</f>
        <v>NO DATA</v>
      </c>
      <c r="C17" s="12" t="str">
        <f>IFERROR(INDEX(PitRawData!$A$1:$AMK$3,3,MATCH(I17,PitRawData!$A$1:$AMK$1,0)),"NO DATA")</f>
        <v>NO DATA</v>
      </c>
      <c r="D17" s="7" t="str">
        <f>IFERROR(INDEX(PitRawData!$A$1:$AMK$3,3,MATCH(J17,PitRawData!$A$1:$AMK$1,0)),"NO DATA")</f>
        <v>NO DATA</v>
      </c>
      <c r="E17" s="12" t="str">
        <f>IFERROR(INDEX(PitRawData!$A$1:$AMK$3,3,MATCH(K17,PitRawData!$A$1:$AMK$1,0)),"NO DATA")</f>
        <v>NO DATA</v>
      </c>
      <c r="F17" s="24">
        <f t="shared" si="1"/>
        <v>0</v>
      </c>
      <c r="H17" s="6" t="s">
        <v>520</v>
      </c>
      <c r="I17" s="6" t="s">
        <v>497</v>
      </c>
      <c r="J17" s="6" t="s">
        <v>475</v>
      </c>
      <c r="K17" s="6" t="s">
        <v>452</v>
      </c>
    </row>
    <row r="18" spans="1:11" ht="15" customHeight="1" x14ac:dyDescent="0.25"/>
    <row r="19" spans="1:11" ht="21" customHeight="1" x14ac:dyDescent="0.25">
      <c r="B19" s="2" t="s">
        <v>4</v>
      </c>
      <c r="C19" s="2"/>
      <c r="D19" s="2"/>
      <c r="E19" s="3" t="s">
        <v>5</v>
      </c>
      <c r="F19" s="2" t="s">
        <v>2</v>
      </c>
      <c r="G19" s="38"/>
    </row>
    <row r="20" spans="1:11" ht="18" customHeight="1" x14ac:dyDescent="0.25">
      <c r="A20" s="48" t="s">
        <v>714</v>
      </c>
      <c r="B20" s="4" t="s">
        <v>0</v>
      </c>
      <c r="C20" s="4" t="s">
        <v>1</v>
      </c>
      <c r="D20" s="4" t="s">
        <v>719</v>
      </c>
      <c r="E20" s="2"/>
      <c r="F20" s="2"/>
      <c r="G20" s="38"/>
    </row>
    <row r="21" spans="1:11" ht="15" customHeight="1" x14ac:dyDescent="0.25">
      <c r="A21" s="11" t="s">
        <v>698</v>
      </c>
      <c r="B21" s="12" t="str">
        <f>IFERROR(INDEX(PitRawData!$A$1:$AMK$3,3,MATCH(H21,PitRawData!$A$1:$AMK$1,0)),"NO DATA")</f>
        <v>NO DATA</v>
      </c>
      <c r="C21" s="12" t="str">
        <f>IFERROR(INDEX(PitRawData!$A$1:$AMK$3,3,MATCH(I21,PitRawData!$A$1:$AMK$1,0)),"NO DATA")</f>
        <v>NO DATA</v>
      </c>
      <c r="D21" s="7" t="str">
        <f>IFERROR(INDEX(PitRawData!$A$1:$AMK$3,3,MATCH(J21,PitRawData!$A$1:$AMK$1,0)),"NO DATA")</f>
        <v>NO DATA</v>
      </c>
      <c r="E21" s="12" t="str">
        <f>IFERROR(INDEX(PitRawData!$A$1:$AMK$3,3,MATCH(K21,PitRawData!$A$1:$AMK$1,0)),"NO DATA")</f>
        <v>NO DATA</v>
      </c>
      <c r="F21" s="24">
        <f>SUM(B21:E21)</f>
        <v>0</v>
      </c>
      <c r="H21" s="6" t="s">
        <v>517</v>
      </c>
      <c r="I21" s="6" t="s">
        <v>494</v>
      </c>
      <c r="J21" s="6" t="s">
        <v>472</v>
      </c>
      <c r="K21" s="6" t="s">
        <v>449</v>
      </c>
    </row>
    <row r="22" spans="1:11" ht="15" customHeight="1" x14ac:dyDescent="0.25">
      <c r="A22" s="11" t="s">
        <v>699</v>
      </c>
      <c r="B22" s="12" t="str">
        <f>IFERROR(INDEX(PitRawData!$A$1:$AMK$3,3,MATCH(H22,PitRawData!$A$1:$AMK$1,0)),"NO DATA")</f>
        <v>NO DATA</v>
      </c>
      <c r="C22" s="12" t="str">
        <f>IFERROR(INDEX(PitRawData!$A$1:$AMK$3,3,MATCH(I22,PitRawData!$A$1:$AMK$1,0)),"NO DATA")</f>
        <v>NO DATA</v>
      </c>
      <c r="D22" s="7" t="str">
        <f>IFERROR(INDEX(PitRawData!$A$1:$AMK$3,3,MATCH(J22,PitRawData!$A$1:$AMK$1,0)),"NO DATA")</f>
        <v>NO DATA</v>
      </c>
      <c r="E22" s="12" t="str">
        <f>IFERROR(INDEX(PitRawData!$A$1:$AMK$3,3,MATCH(K22,PitRawData!$A$1:$AMK$1,0)),"NO DATA")</f>
        <v>NO DATA</v>
      </c>
      <c r="F22" s="24">
        <f t="shared" ref="F22:F35" si="2">SUM(B22:E22)</f>
        <v>0</v>
      </c>
      <c r="H22" s="6" t="s">
        <v>518</v>
      </c>
      <c r="I22" s="6" t="s">
        <v>495</v>
      </c>
      <c r="J22" s="6" t="s">
        <v>473</v>
      </c>
      <c r="K22" s="6" t="s">
        <v>450</v>
      </c>
    </row>
    <row r="23" spans="1:11" ht="15" customHeight="1" x14ac:dyDescent="0.25">
      <c r="A23" s="11" t="s">
        <v>700</v>
      </c>
      <c r="B23" s="12" t="str">
        <f>IFERROR(INDEX(PitRawData!$A$1:$AMK$3,3,MATCH(H23,PitRawData!$A$1:$AMK$1,0)),"NO DATA")</f>
        <v>NO DATA</v>
      </c>
      <c r="C23" s="12" t="str">
        <f>IFERROR(INDEX(PitRawData!$A$1:$AMK$3,3,MATCH(I23,PitRawData!$A$1:$AMK$1,0)),"NO DATA")</f>
        <v>NO DATA</v>
      </c>
      <c r="D23" s="7" t="str">
        <f>IFERROR(INDEX(PitRawData!$A$1:$AMK$3,3,MATCH(J23,PitRawData!$A$1:$AMK$1,0)),"NO DATA")</f>
        <v>NO DATA</v>
      </c>
      <c r="E23" s="12" t="str">
        <f>IFERROR(INDEX(PitRawData!$A$1:$AMK$3,3,MATCH(K23,PitRawData!$A$1:$AMK$1,0)),"NO DATA")</f>
        <v>NO DATA</v>
      </c>
      <c r="F23" s="24">
        <f t="shared" si="2"/>
        <v>0</v>
      </c>
      <c r="H23" s="6" t="s">
        <v>515</v>
      </c>
      <c r="I23" s="6" t="s">
        <v>492</v>
      </c>
      <c r="J23" s="6" t="s">
        <v>470</v>
      </c>
      <c r="K23" s="6" t="s">
        <v>447</v>
      </c>
    </row>
    <row r="24" spans="1:11" ht="15" customHeight="1" x14ac:dyDescent="0.25">
      <c r="A24" s="11" t="s">
        <v>701</v>
      </c>
      <c r="B24" s="12" t="str">
        <f>IFERROR(INDEX(PitRawData!$A$1:$AMK$3,3,MATCH(H24,PitRawData!$A$1:$AMK$1,0)),"NO DATA")</f>
        <v>NO DATA</v>
      </c>
      <c r="C24" s="12" t="str">
        <f>IFERROR(INDEX(PitRawData!$A$1:$AMK$3,3,MATCH(I24,PitRawData!$A$1:$AMK$1,0)),"NO DATA")</f>
        <v>NO DATA</v>
      </c>
      <c r="D24" s="7" t="str">
        <f>IFERROR(INDEX(PitRawData!$A$1:$AMK$3,3,MATCH(J24,PitRawData!$A$1:$AMK$1,0)),"NO DATA")</f>
        <v>NO DATA</v>
      </c>
      <c r="E24" s="12" t="str">
        <f>IFERROR(INDEX(PitRawData!$A$1:$AMK$3,3,MATCH(K24,PitRawData!$A$1:$AMK$1,0)),"NO DATA")</f>
        <v>NO DATA</v>
      </c>
      <c r="F24" s="24">
        <f t="shared" si="2"/>
        <v>0</v>
      </c>
      <c r="H24" s="6" t="s">
        <v>516</v>
      </c>
      <c r="I24" s="6" t="s">
        <v>493</v>
      </c>
      <c r="J24" s="6" t="s">
        <v>471</v>
      </c>
      <c r="K24" s="6" t="s">
        <v>448</v>
      </c>
    </row>
    <row r="25" spans="1:11" ht="15" customHeight="1" x14ac:dyDescent="0.25">
      <c r="A25" s="11" t="s">
        <v>702</v>
      </c>
      <c r="B25" s="12" t="str">
        <f>IFERROR(INDEX(PitRawData!$A$1:$AMK$3,3,MATCH(H25,PitRawData!$A$1:$AMK$1,0)),"NO DATA")</f>
        <v>NO DATA</v>
      </c>
      <c r="C25" s="12" t="str">
        <f>IFERROR(INDEX(PitRawData!$A$1:$AMK$3,3,MATCH(I25,PitRawData!$A$1:$AMK$1,0)),"NO DATA")</f>
        <v>NO DATA</v>
      </c>
      <c r="D25" s="7" t="str">
        <f>IFERROR(INDEX(PitRawData!$A$1:$AMK$3,3,MATCH(J25,PitRawData!$A$1:$AMK$1,0)),"NO DATA")</f>
        <v>NO DATA</v>
      </c>
      <c r="E25" s="12" t="str">
        <f>IFERROR(INDEX(PitRawData!$A$1:$AMK$3,3,MATCH(K25,PitRawData!$A$1:$AMK$1,0)),"NO DATA")</f>
        <v>NO DATA</v>
      </c>
      <c r="F25" s="24">
        <f t="shared" si="2"/>
        <v>0</v>
      </c>
      <c r="H25" s="6" t="s">
        <v>513</v>
      </c>
      <c r="I25" s="6" t="s">
        <v>490</v>
      </c>
      <c r="J25" s="6" t="s">
        <v>468</v>
      </c>
      <c r="K25" s="6" t="s">
        <v>445</v>
      </c>
    </row>
    <row r="26" spans="1:11" ht="15" customHeight="1" x14ac:dyDescent="0.25">
      <c r="A26" s="11" t="s">
        <v>703</v>
      </c>
      <c r="B26" s="12" t="str">
        <f>IFERROR(INDEX(PitRawData!$A$1:$AMK$3,3,MATCH(H26,PitRawData!$A$1:$AMK$1,0)),"NO DATA")</f>
        <v>NO DATA</v>
      </c>
      <c r="C26" s="12" t="str">
        <f>IFERROR(INDEX(PitRawData!$A$1:$AMK$3,3,MATCH(I26,PitRawData!$A$1:$AMK$1,0)),"NO DATA")</f>
        <v>NO DATA</v>
      </c>
      <c r="D26" s="7" t="str">
        <f>IFERROR(INDEX(PitRawData!$A$1:$AMK$3,3,MATCH(J26,PitRawData!$A$1:$AMK$1,0)),"NO DATA")</f>
        <v>NO DATA</v>
      </c>
      <c r="E26" s="12" t="str">
        <f>IFERROR(INDEX(PitRawData!$A$1:$AMK$3,3,MATCH(K26,PitRawData!$A$1:$AMK$1,0)),"NO DATA")</f>
        <v>NO DATA</v>
      </c>
      <c r="F26" s="24">
        <f t="shared" si="2"/>
        <v>0</v>
      </c>
      <c r="H26" s="6" t="s">
        <v>514</v>
      </c>
      <c r="I26" s="6" t="s">
        <v>491</v>
      </c>
      <c r="J26" s="6" t="s">
        <v>469</v>
      </c>
      <c r="K26" s="6" t="s">
        <v>446</v>
      </c>
    </row>
    <row r="27" spans="1:11" ht="15" customHeight="1" x14ac:dyDescent="0.25">
      <c r="A27" s="11" t="s">
        <v>704</v>
      </c>
      <c r="B27" s="12" t="str">
        <f>IFERROR(INDEX(PitRawData!$A$1:$AMK$3,3,MATCH(H27,PitRawData!$A$1:$AMK$1,0)),"NO DATA")</f>
        <v>NO DATA</v>
      </c>
      <c r="C27" s="12" t="str">
        <f>IFERROR(INDEX(PitRawData!$A$1:$AMK$3,3,MATCH(I27,PitRawData!$A$1:$AMK$1,0)),"NO DATA")</f>
        <v>NO DATA</v>
      </c>
      <c r="D27" s="7" t="str">
        <f>IFERROR(INDEX(PitRawData!$A$1:$AMK$3,3,MATCH(J27,PitRawData!$A$1:$AMK$1,0)),"NO DATA")</f>
        <v>NO DATA</v>
      </c>
      <c r="E27" s="12" t="str">
        <f>IFERROR(INDEX(PitRawData!$A$1:$AMK$3,3,MATCH(K27,PitRawData!$A$1:$AMK$1,0)),"NO DATA")</f>
        <v>NO DATA</v>
      </c>
      <c r="F27" s="24">
        <f t="shared" si="2"/>
        <v>0</v>
      </c>
      <c r="H27" s="6" t="s">
        <v>519</v>
      </c>
      <c r="I27" s="6" t="s">
        <v>496</v>
      </c>
      <c r="J27" s="6" t="s">
        <v>474</v>
      </c>
      <c r="K27" s="6" t="s">
        <v>451</v>
      </c>
    </row>
    <row r="28" spans="1:11" ht="15" customHeight="1" x14ac:dyDescent="0.25">
      <c r="A28" s="11" t="s">
        <v>705</v>
      </c>
      <c r="B28" s="12" t="str">
        <f>IFERROR(INDEX(PitRawData!$A$1:$AMK$3,3,MATCH(H28,PitRawData!$A$1:$AMK$1,0)),"NO DATA")</f>
        <v>NO DATA</v>
      </c>
      <c r="C28" s="12" t="str">
        <f>IFERROR(INDEX(PitRawData!$A$1:$AMK$3,3,MATCH(I28,PitRawData!$A$1:$AMK$1,0)),"NO DATA")</f>
        <v>NO DATA</v>
      </c>
      <c r="D28" s="7" t="str">
        <f>IFERROR(INDEX(PitRawData!$A$1:$AMK$3,3,MATCH(J28,PitRawData!$A$1:$AMK$1,0)),"NO DATA")</f>
        <v>NO DATA</v>
      </c>
      <c r="E28" s="12" t="str">
        <f>IFERROR(INDEX(PitRawData!$A$1:$AMK$3,3,MATCH(K28,PitRawData!$A$1:$AMK$1,0)),"NO DATA")</f>
        <v>NO DATA</v>
      </c>
      <c r="F28" s="24">
        <f t="shared" si="2"/>
        <v>0</v>
      </c>
      <c r="H28" s="6" t="s">
        <v>511</v>
      </c>
      <c r="I28" s="6" t="s">
        <v>488</v>
      </c>
      <c r="J28" s="6" t="s">
        <v>466</v>
      </c>
      <c r="K28" s="6" t="s">
        <v>443</v>
      </c>
    </row>
    <row r="29" spans="1:11" ht="15" customHeight="1" x14ac:dyDescent="0.25">
      <c r="A29" s="11" t="s">
        <v>706</v>
      </c>
      <c r="B29" s="12" t="str">
        <f>IFERROR(INDEX(PitRawData!$A$1:$AMK$3,3,MATCH(H29,PitRawData!$A$1:$AMK$1,0)),"NO DATA")</f>
        <v>NO DATA</v>
      </c>
      <c r="C29" s="12" t="str">
        <f>IFERROR(INDEX(PitRawData!$A$1:$AMK$3,3,MATCH(I29,PitRawData!$A$1:$AMK$1,0)),"NO DATA")</f>
        <v>NO DATA</v>
      </c>
      <c r="D29" s="7" t="str">
        <f>IFERROR(INDEX(PitRawData!$A$1:$AMK$3,3,MATCH(J29,PitRawData!$A$1:$AMK$1,0)),"NO DATA")</f>
        <v>NO DATA</v>
      </c>
      <c r="E29" s="12" t="str">
        <f>IFERROR(INDEX(PitRawData!$A$1:$AMK$3,3,MATCH(K29,PitRawData!$A$1:$AMK$1,0)),"NO DATA")</f>
        <v>NO DATA</v>
      </c>
      <c r="F29" s="24">
        <f t="shared" si="2"/>
        <v>0</v>
      </c>
      <c r="H29" s="6" t="s">
        <v>512</v>
      </c>
      <c r="I29" s="6" t="s">
        <v>489</v>
      </c>
      <c r="J29" s="6" t="s">
        <v>467</v>
      </c>
      <c r="K29" s="6" t="s">
        <v>444</v>
      </c>
    </row>
    <row r="30" spans="1:11" ht="15" customHeight="1" x14ac:dyDescent="0.25">
      <c r="A30" s="11" t="s">
        <v>707</v>
      </c>
      <c r="B30" s="12" t="str">
        <f>IFERROR(INDEX(PitRawData!$A$1:$AMK$3,3,MATCH(H30,PitRawData!$A$1:$AMK$1,0)),"NO DATA")</f>
        <v>NO DATA</v>
      </c>
      <c r="C30" s="12" t="str">
        <f>IFERROR(INDEX(PitRawData!$A$1:$AMK$3,3,MATCH(I30,PitRawData!$A$1:$AMK$1,0)),"NO DATA")</f>
        <v>NO DATA</v>
      </c>
      <c r="D30" s="7" t="str">
        <f>IFERROR(INDEX(PitRawData!$A$1:$AMK$3,3,MATCH(J30,PitRawData!$A$1:$AMK$1,0)),"NO DATA")</f>
        <v>NO DATA</v>
      </c>
      <c r="E30" s="12" t="str">
        <f>IFERROR(INDEX(PitRawData!$A$1:$AMK$3,3,MATCH(K30,PitRawData!$A$1:$AMK$1,0)),"NO DATA")</f>
        <v>NO DATA</v>
      </c>
      <c r="F30" s="24">
        <f t="shared" si="2"/>
        <v>0</v>
      </c>
      <c r="H30" s="6" t="s">
        <v>507</v>
      </c>
      <c r="I30" s="6" t="s">
        <v>484</v>
      </c>
      <c r="J30" s="6" t="s">
        <v>462</v>
      </c>
      <c r="K30" s="6" t="s">
        <v>439</v>
      </c>
    </row>
    <row r="31" spans="1:11" ht="15" customHeight="1" x14ac:dyDescent="0.25">
      <c r="A31" s="11" t="s">
        <v>708</v>
      </c>
      <c r="B31" s="12" t="str">
        <f>IFERROR(INDEX(PitRawData!$A$1:$AMK$3,3,MATCH(H31,PitRawData!$A$1:$AMK$1,0)),"NO DATA")</f>
        <v>NO DATA</v>
      </c>
      <c r="C31" s="12" t="str">
        <f>IFERROR(INDEX(PitRawData!$A$1:$AMK$3,3,MATCH(I31,PitRawData!$A$1:$AMK$1,0)),"NO DATA")</f>
        <v>NO DATA</v>
      </c>
      <c r="D31" s="7" t="str">
        <f>IFERROR(INDEX(PitRawData!$A$1:$AMK$3,3,MATCH(J31,PitRawData!$A$1:$AMK$1,0)),"NO DATA")</f>
        <v>NO DATA</v>
      </c>
      <c r="E31" s="12" t="str">
        <f>IFERROR(INDEX(PitRawData!$A$1:$AMK$3,3,MATCH(K31,PitRawData!$A$1:$AMK$1,0)),"NO DATA")</f>
        <v>NO DATA</v>
      </c>
      <c r="F31" s="24">
        <f t="shared" si="2"/>
        <v>0</v>
      </c>
      <c r="H31" s="6" t="s">
        <v>508</v>
      </c>
      <c r="I31" s="6" t="s">
        <v>485</v>
      </c>
      <c r="J31" s="6" t="s">
        <v>463</v>
      </c>
      <c r="K31" s="6" t="s">
        <v>440</v>
      </c>
    </row>
    <row r="32" spans="1:11" ht="15" customHeight="1" x14ac:dyDescent="0.25">
      <c r="A32" s="11" t="s">
        <v>709</v>
      </c>
      <c r="B32" s="12" t="str">
        <f>IFERROR(INDEX(PitRawData!$A$1:$AMK$3,3,MATCH(H32,PitRawData!$A$1:$AMK$1,0)),"NO DATA")</f>
        <v>NO DATA</v>
      </c>
      <c r="C32" s="12" t="str">
        <f>IFERROR(INDEX(PitRawData!$A$1:$AMK$3,3,MATCH(I32,PitRawData!$A$1:$AMK$1,0)),"NO DATA")</f>
        <v>NO DATA</v>
      </c>
      <c r="D32" s="7" t="str">
        <f>IFERROR(INDEX(PitRawData!$A$1:$AMK$3,3,MATCH(J32,PitRawData!$A$1:$AMK$1,0)),"NO DATA")</f>
        <v>NO DATA</v>
      </c>
      <c r="E32" s="12" t="str">
        <f>IFERROR(INDEX(PitRawData!$A$1:$AMK$3,3,MATCH(K32,PitRawData!$A$1:$AMK$1,0)),"NO DATA")</f>
        <v>NO DATA</v>
      </c>
      <c r="F32" s="24">
        <f t="shared" si="2"/>
        <v>0</v>
      </c>
      <c r="H32" s="6" t="s">
        <v>505</v>
      </c>
      <c r="I32" s="6" t="s">
        <v>482</v>
      </c>
      <c r="J32" s="6" t="s">
        <v>460</v>
      </c>
      <c r="K32" s="6" t="s">
        <v>437</v>
      </c>
    </row>
    <row r="33" spans="1:11" ht="15" customHeight="1" x14ac:dyDescent="0.25">
      <c r="A33" s="11" t="s">
        <v>710</v>
      </c>
      <c r="B33" s="12" t="str">
        <f>IFERROR(INDEX(PitRawData!$A$1:$AMK$3,3,MATCH(H33,PitRawData!$A$1:$AMK$1,0)),"NO DATA")</f>
        <v>NO DATA</v>
      </c>
      <c r="C33" s="12" t="str">
        <f>IFERROR(INDEX(PitRawData!$A$1:$AMK$3,3,MATCH(I33,PitRawData!$A$1:$AMK$1,0)),"NO DATA")</f>
        <v>NO DATA</v>
      </c>
      <c r="D33" s="7" t="str">
        <f>IFERROR(INDEX(PitRawData!$A$1:$AMK$3,3,MATCH(J33,PitRawData!$A$1:$AMK$1,0)),"NO DATA")</f>
        <v>NO DATA</v>
      </c>
      <c r="E33" s="12" t="str">
        <f>IFERROR(INDEX(PitRawData!$A$1:$AMK$3,3,MATCH(K33,PitRawData!$A$1:$AMK$1,0)),"NO DATA")</f>
        <v>NO DATA</v>
      </c>
      <c r="F33" s="24">
        <f t="shared" si="2"/>
        <v>0</v>
      </c>
      <c r="H33" s="6" t="s">
        <v>506</v>
      </c>
      <c r="I33" s="6" t="s">
        <v>483</v>
      </c>
      <c r="J33" s="6" t="s">
        <v>461</v>
      </c>
      <c r="K33" s="6" t="s">
        <v>438</v>
      </c>
    </row>
    <row r="34" spans="1:11" ht="15" customHeight="1" x14ac:dyDescent="0.25">
      <c r="A34" s="11" t="s">
        <v>711</v>
      </c>
      <c r="B34" s="12" t="str">
        <f>IFERROR(INDEX(PitRawData!$A$1:$AMK$3,3,MATCH(H34,PitRawData!$A$1:$AMK$1,0)),"NO DATA")</f>
        <v>NO DATA</v>
      </c>
      <c r="C34" s="12" t="str">
        <f>IFERROR(INDEX(PitRawData!$A$1:$AMK$3,3,MATCH(I34,PitRawData!$A$1:$AMK$1,0)),"NO DATA")</f>
        <v>NO DATA</v>
      </c>
      <c r="D34" s="7" t="str">
        <f>IFERROR(INDEX(PitRawData!$A$1:$AMK$3,3,MATCH(J34,PitRawData!$A$1:$AMK$1,0)),"NO DATA")</f>
        <v>NO DATA</v>
      </c>
      <c r="E34" s="12" t="str">
        <f>IFERROR(INDEX(PitRawData!$A$1:$AMK$3,3,MATCH(K34,PitRawData!$A$1:$AMK$1,0)),"NO DATA")</f>
        <v>NO DATA</v>
      </c>
      <c r="F34" s="24">
        <f t="shared" si="2"/>
        <v>0</v>
      </c>
      <c r="H34" s="6" t="s">
        <v>510</v>
      </c>
      <c r="I34" s="6" t="s">
        <v>487</v>
      </c>
      <c r="J34" s="6" t="s">
        <v>465</v>
      </c>
      <c r="K34" s="6" t="s">
        <v>442</v>
      </c>
    </row>
    <row r="35" spans="1:11" ht="15" customHeight="1" x14ac:dyDescent="0.25">
      <c r="A35" s="11" t="s">
        <v>712</v>
      </c>
      <c r="B35" s="12" t="str">
        <f>IFERROR(INDEX(PitRawData!$A$1:$AMK$3,3,MATCH(H35,PitRawData!$A$1:$AMK$1,0)),"NO DATA")</f>
        <v>NO DATA</v>
      </c>
      <c r="C35" s="12" t="str">
        <f>IFERROR(INDEX(PitRawData!$A$1:$AMK$3,3,MATCH(I35,PitRawData!$A$1:$AMK$1,0)),"NO DATA")</f>
        <v>NO DATA</v>
      </c>
      <c r="D35" s="7" t="str">
        <f>IFERROR(INDEX(PitRawData!$A$1:$AMK$3,3,MATCH(J35,PitRawData!$A$1:$AMK$1,0)),"NO DATA")</f>
        <v>NO DATA</v>
      </c>
      <c r="E35" s="12" t="str">
        <f>IFERROR(INDEX(PitRawData!$A$1:$AMK$3,3,MATCH(K35,PitRawData!$A$1:$AMK$1,0)),"NO DATA")</f>
        <v>NO DATA</v>
      </c>
      <c r="F35" s="24">
        <f t="shared" si="2"/>
        <v>0</v>
      </c>
      <c r="H35" s="6" t="s">
        <v>509</v>
      </c>
      <c r="I35" s="6" t="s">
        <v>486</v>
      </c>
      <c r="J35" s="6" t="s">
        <v>464</v>
      </c>
      <c r="K35" s="6" t="s">
        <v>441</v>
      </c>
    </row>
    <row r="36" spans="1:11" ht="15" customHeight="1" x14ac:dyDescent="0.25"/>
    <row r="37" spans="1:11" ht="21" customHeight="1" x14ac:dyDescent="0.25">
      <c r="B37" s="2" t="s">
        <v>4</v>
      </c>
      <c r="C37" s="2"/>
      <c r="D37" s="2"/>
      <c r="E37" s="3" t="s">
        <v>5</v>
      </c>
      <c r="F37" s="2" t="s">
        <v>2</v>
      </c>
    </row>
    <row r="38" spans="1:11" ht="18" customHeight="1" x14ac:dyDescent="0.25">
      <c r="A38" s="48" t="s">
        <v>15</v>
      </c>
      <c r="B38" s="4" t="s">
        <v>0</v>
      </c>
      <c r="C38" s="4" t="s">
        <v>1</v>
      </c>
      <c r="D38" s="4" t="s">
        <v>719</v>
      </c>
      <c r="E38" s="2"/>
      <c r="F38" s="2"/>
    </row>
    <row r="39" spans="1:11" ht="15" customHeight="1" x14ac:dyDescent="0.25">
      <c r="A39" s="7" t="s">
        <v>17</v>
      </c>
      <c r="B39" s="12" t="str">
        <f>IFERROR(INDEX(PitRawData!$A$1:$AMK$3,3,MATCH(H39,PitRawData!$A$1:$AMK$1,0)),"NO DATA")</f>
        <v>NO DATA</v>
      </c>
      <c r="C39" s="25" t="s">
        <v>697</v>
      </c>
      <c r="D39" s="7" t="str">
        <f>IFERROR(INDEX(PitRawData!$A$1:$AMK$3,3,MATCH(J39,PitRawData!$A$1:$AMK$1,0)),"NO DATA")</f>
        <v>NO DATA</v>
      </c>
      <c r="E39" s="12" t="str">
        <f>IFERROR(INDEX(PitRawData!$A$1:$AMK$3,3,MATCH(K39,PitRawData!$A$1:$AMK$1,0)),"NO DATA")</f>
        <v>NO DATA</v>
      </c>
      <c r="F39" s="24">
        <f>SUM(B39:E39)</f>
        <v>0</v>
      </c>
      <c r="H39" s="6" t="s">
        <v>504</v>
      </c>
      <c r="J39" s="6" t="s">
        <v>459</v>
      </c>
      <c r="K39" s="6" t="s">
        <v>436</v>
      </c>
    </row>
    <row r="40" spans="1:11" ht="15" customHeight="1" x14ac:dyDescent="0.25">
      <c r="G40" s="38"/>
    </row>
  </sheetData>
  <sheetProtection algorithmName="SHA-512" hashValue="dv6Wd4H/kbkq9f7xcpBXNybk693CNPZb9bwFaR68koGJG17rHxD2g0YSkTHBgdmu+uqt0Fd1wkOjFo2ETtPLlw==" saltValue="bNrTrBrWuhO2YFfdiwWx4A==" spinCount="100000" sheet="1" objects="1" scenarios="1"/>
  <conditionalFormatting sqref="A3:F3">
    <cfRule type="expression" dxfId="13" priority="1">
      <formula>$A$3="PASTE DATA INTO THE 'PitRawData' TAB TO POPULATE THIS TEMPLATE."</formula>
    </cfRule>
  </conditionalFormatting>
  <pageMargins left="0.25" right="0.25" top="0.75" bottom="0.75" header="0.3" footer="0.3"/>
  <pageSetup orientation="landscape" r:id="rId1"/>
  <rowBreaks count="1" manualBreakCount="1">
    <brk id="17"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339D-DD51-445D-A461-1C1AE38A3C24}">
  <sheetPr codeName="Sheet17"/>
  <dimension ref="A1:K72"/>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6384" width="9.140625" style="6" hidden="1"/>
  </cols>
  <sheetData>
    <row r="1" spans="1:7" ht="21" customHeight="1" x14ac:dyDescent="0.25">
      <c r="A1" s="39" t="s">
        <v>726</v>
      </c>
      <c r="B1" s="46"/>
      <c r="C1" s="46"/>
      <c r="D1" s="46"/>
      <c r="E1" s="46"/>
      <c r="F1" s="46"/>
      <c r="G1" s="37"/>
    </row>
    <row r="2" spans="1:7" ht="18" customHeight="1" x14ac:dyDescent="0.25">
      <c r="A2" s="45" t="str">
        <f>HeadingLine2</f>
        <v/>
      </c>
      <c r="B2" s="46"/>
      <c r="C2" s="46"/>
      <c r="D2" s="46"/>
      <c r="E2" s="46"/>
      <c r="F2" s="46"/>
      <c r="G2" s="37"/>
    </row>
    <row r="3" spans="1:7" ht="18" customHeight="1" x14ac:dyDescent="0.25">
      <c r="A3" s="45" t="str">
        <f>HeadingLine3</f>
        <v>PASTE DATA INTO THE 'PitRawData' TAB TO POPULATE THIS TEMPLATE.</v>
      </c>
      <c r="B3" s="46"/>
      <c r="C3" s="46"/>
      <c r="D3" s="46"/>
      <c r="E3" s="46"/>
      <c r="F3" s="46"/>
      <c r="G3" s="37"/>
    </row>
    <row r="4" spans="1:7" ht="18" customHeight="1" x14ac:dyDescent="0.25">
      <c r="A4" s="45" t="str">
        <f>HeadingLine4</f>
        <v/>
      </c>
      <c r="B4" s="46"/>
      <c r="C4" s="46"/>
      <c r="D4" s="46"/>
      <c r="E4" s="46"/>
      <c r="F4" s="46"/>
      <c r="G4" s="37"/>
    </row>
    <row r="5" spans="1:7" ht="18" customHeight="1" x14ac:dyDescent="0.25">
      <c r="A5" s="39"/>
      <c r="B5" s="36"/>
      <c r="C5" s="37"/>
      <c r="D5" s="37"/>
      <c r="E5" s="37"/>
      <c r="F5" s="37"/>
      <c r="G5" s="37"/>
    </row>
    <row r="6" spans="1:7" ht="18" customHeight="1" x14ac:dyDescent="0.3">
      <c r="A6" s="47" t="s">
        <v>696</v>
      </c>
      <c r="B6" s="37"/>
      <c r="C6" s="37"/>
      <c r="D6" s="37"/>
      <c r="E6" s="37"/>
      <c r="F6" s="37"/>
      <c r="G6" s="37"/>
    </row>
    <row r="7" spans="1:7" ht="15" customHeight="1" x14ac:dyDescent="0.25">
      <c r="A7" s="40"/>
      <c r="B7" s="37"/>
      <c r="C7" s="37"/>
      <c r="D7" s="37"/>
      <c r="E7" s="37"/>
      <c r="F7" s="37"/>
      <c r="G7" s="37"/>
    </row>
    <row r="8" spans="1:7" ht="21" customHeight="1" x14ac:dyDescent="0.25">
      <c r="B8" s="2" t="s">
        <v>4</v>
      </c>
      <c r="C8" s="2"/>
      <c r="D8" s="2"/>
      <c r="E8" s="3" t="s">
        <v>5</v>
      </c>
      <c r="F8" s="2" t="s">
        <v>2</v>
      </c>
      <c r="G8" s="22"/>
    </row>
    <row r="9" spans="1:7" ht="18" customHeight="1" x14ac:dyDescent="0.25">
      <c r="A9" s="48" t="s">
        <v>3</v>
      </c>
      <c r="B9" s="4" t="s">
        <v>0</v>
      </c>
      <c r="C9" s="4" t="s">
        <v>1</v>
      </c>
      <c r="D9" s="4" t="s">
        <v>719</v>
      </c>
      <c r="E9" s="2"/>
      <c r="F9" s="2"/>
      <c r="G9" s="38"/>
    </row>
    <row r="10" spans="1:7" ht="15" customHeight="1" x14ac:dyDescent="0.25">
      <c r="A10" s="7" t="s">
        <v>6</v>
      </c>
      <c r="B10" s="10" t="e">
        <f>All_AC!B10+All_CO!B10+All_AO!B10</f>
        <v>#VALUE!</v>
      </c>
      <c r="C10" s="10" t="e">
        <f>All_AC!C10+All_CO!C10+All_AO!C10</f>
        <v>#VALUE!</v>
      </c>
      <c r="D10" s="10" t="e">
        <f>All_CO!D10+All_AO!D10</f>
        <v>#VALUE!</v>
      </c>
      <c r="E10" s="10" t="e">
        <f>All_AC!D10+All_CO!E10+All_AO!E10</f>
        <v>#VALUE!</v>
      </c>
      <c r="F10" s="9" t="e">
        <f>SUM(B10:E10)</f>
        <v>#VALUE!</v>
      </c>
      <c r="G10" s="38"/>
    </row>
    <row r="11" spans="1:7" ht="15" customHeight="1" x14ac:dyDescent="0.25">
      <c r="A11" s="7" t="s">
        <v>7</v>
      </c>
      <c r="B11" s="10" t="e">
        <f>SUM(B12:B18)</f>
        <v>#VALUE!</v>
      </c>
      <c r="C11" s="10" t="e">
        <f t="shared" ref="C11:E11" si="0">SUM(C12:C18)</f>
        <v>#VALUE!</v>
      </c>
      <c r="D11" s="10">
        <f t="shared" si="0"/>
        <v>0</v>
      </c>
      <c r="E11" s="10" t="e">
        <f t="shared" si="0"/>
        <v>#VALUE!</v>
      </c>
      <c r="F11" s="9" t="e">
        <f t="shared" ref="F11:F18" si="1">SUM(B11:E11)</f>
        <v>#VALUE!</v>
      </c>
      <c r="G11" s="38"/>
    </row>
    <row r="12" spans="1:7" ht="15" customHeight="1" x14ac:dyDescent="0.25">
      <c r="A12" s="11" t="s">
        <v>687</v>
      </c>
      <c r="B12" s="10" t="e">
        <f>All_AC!B12+All_CO!B11</f>
        <v>#VALUE!</v>
      </c>
      <c r="C12" s="10" t="e">
        <f>All_AC!C12+All_CO!C11</f>
        <v>#VALUE!</v>
      </c>
      <c r="D12" s="10" t="str">
        <f>All_CO!D11</f>
        <v>NO DATA</v>
      </c>
      <c r="E12" s="10" t="e">
        <f>All_AC!D12+All_CO!E11</f>
        <v>#VALUE!</v>
      </c>
      <c r="F12" s="9" t="e">
        <f t="shared" si="1"/>
        <v>#VALUE!</v>
      </c>
      <c r="G12" s="38"/>
    </row>
    <row r="13" spans="1:7" ht="15" customHeight="1" x14ac:dyDescent="0.25">
      <c r="A13" s="11" t="s">
        <v>9</v>
      </c>
      <c r="B13" s="10" t="e">
        <f>All_AC!B13+All_AO!B12</f>
        <v>#VALUE!</v>
      </c>
      <c r="C13" s="10" t="e">
        <f>All_AC!C13+All_AO!C12</f>
        <v>#VALUE!</v>
      </c>
      <c r="D13" s="10" t="str">
        <f>All_AO!D12</f>
        <v>NO DATA</v>
      </c>
      <c r="E13" s="10" t="e">
        <f>All_AC!D13+All_AO!E12</f>
        <v>#VALUE!</v>
      </c>
      <c r="F13" s="9" t="e">
        <f t="shared" si="1"/>
        <v>#VALUE!</v>
      </c>
    </row>
    <row r="14" spans="1:7" ht="15" customHeight="1" x14ac:dyDescent="0.25">
      <c r="A14" s="11" t="s">
        <v>10</v>
      </c>
      <c r="B14" s="10" t="e">
        <f>All_AC!B14+All_AO!B13</f>
        <v>#VALUE!</v>
      </c>
      <c r="C14" s="10" t="e">
        <f>All_AC!C14+All_AO!C13</f>
        <v>#VALUE!</v>
      </c>
      <c r="D14" s="10" t="str">
        <f>All_AO!D13</f>
        <v>NO DATA</v>
      </c>
      <c r="E14" s="10" t="e">
        <f>All_AC!D14+All_AO!E13</f>
        <v>#VALUE!</v>
      </c>
      <c r="F14" s="9" t="e">
        <f t="shared" si="1"/>
        <v>#VALUE!</v>
      </c>
    </row>
    <row r="15" spans="1:7" x14ac:dyDescent="0.25">
      <c r="A15" s="11" t="s">
        <v>11</v>
      </c>
      <c r="B15" s="10" t="e">
        <f>All_AC!B15+All_AO!B14</f>
        <v>#VALUE!</v>
      </c>
      <c r="C15" s="10" t="e">
        <f>All_AC!C15+All_AO!C14</f>
        <v>#VALUE!</v>
      </c>
      <c r="D15" s="10" t="str">
        <f>All_AO!D14</f>
        <v>NO DATA</v>
      </c>
      <c r="E15" s="10" t="e">
        <f>All_AC!D15+All_AO!E14</f>
        <v>#VALUE!</v>
      </c>
      <c r="F15" s="9" t="e">
        <f t="shared" si="1"/>
        <v>#VALUE!</v>
      </c>
    </row>
    <row r="16" spans="1:7" ht="15" customHeight="1" x14ac:dyDescent="0.25">
      <c r="A16" s="11" t="s">
        <v>12</v>
      </c>
      <c r="B16" s="10" t="e">
        <f>All_AC!B16+All_AO!B15</f>
        <v>#VALUE!</v>
      </c>
      <c r="C16" s="10" t="e">
        <f>All_AC!C16+All_AO!C15</f>
        <v>#VALUE!</v>
      </c>
      <c r="D16" s="10" t="str">
        <f>All_AO!D15</f>
        <v>NO DATA</v>
      </c>
      <c r="E16" s="10" t="e">
        <f>All_AC!D16+All_AO!E15</f>
        <v>#VALUE!</v>
      </c>
      <c r="F16" s="9" t="e">
        <f t="shared" si="1"/>
        <v>#VALUE!</v>
      </c>
    </row>
    <row r="17" spans="1:7" ht="15" customHeight="1" x14ac:dyDescent="0.25">
      <c r="A17" s="11" t="s">
        <v>13</v>
      </c>
      <c r="B17" s="10" t="e">
        <f>All_AC!B17+All_AO!B16</f>
        <v>#VALUE!</v>
      </c>
      <c r="C17" s="10" t="e">
        <f>All_AC!C17+All_AO!C16</f>
        <v>#VALUE!</v>
      </c>
      <c r="D17" s="10" t="str">
        <f>All_AO!D16</f>
        <v>NO DATA</v>
      </c>
      <c r="E17" s="10" t="e">
        <f>All_AC!D17+All_AO!E16</f>
        <v>#VALUE!</v>
      </c>
      <c r="F17" s="9" t="e">
        <f t="shared" si="1"/>
        <v>#VALUE!</v>
      </c>
    </row>
    <row r="18" spans="1:7" ht="15" customHeight="1" x14ac:dyDescent="0.25">
      <c r="A18" s="11" t="s">
        <v>688</v>
      </c>
      <c r="B18" s="10" t="e">
        <f>All_AC!B18+All_AO!B17</f>
        <v>#VALUE!</v>
      </c>
      <c r="C18" s="10" t="e">
        <f>All_AC!C18+All_AO!C17</f>
        <v>#VALUE!</v>
      </c>
      <c r="D18" s="10" t="str">
        <f>All_AO!D17</f>
        <v>NO DATA</v>
      </c>
      <c r="E18" s="10" t="e">
        <f>All_AC!D18+All_AO!E17</f>
        <v>#VALUE!</v>
      </c>
      <c r="F18" s="9" t="e">
        <f t="shared" si="1"/>
        <v>#VALUE!</v>
      </c>
    </row>
    <row r="19" spans="1:7" ht="15" customHeight="1" x14ac:dyDescent="0.25">
      <c r="A19" s="13"/>
      <c r="B19" s="14"/>
      <c r="C19" s="14"/>
      <c r="E19" s="14"/>
      <c r="F19" s="5"/>
    </row>
    <row r="20" spans="1:7" ht="21" customHeight="1" x14ac:dyDescent="0.25">
      <c r="B20" s="2" t="s">
        <v>4</v>
      </c>
      <c r="C20" s="2"/>
      <c r="D20" s="2"/>
      <c r="E20" s="3" t="s">
        <v>5</v>
      </c>
      <c r="F20" s="2" t="s">
        <v>2</v>
      </c>
      <c r="G20" s="38"/>
    </row>
    <row r="21" spans="1:7" ht="18" customHeight="1" x14ac:dyDescent="0.25">
      <c r="A21" s="48" t="s">
        <v>694</v>
      </c>
      <c r="B21" s="4" t="s">
        <v>0</v>
      </c>
      <c r="C21" s="4" t="s">
        <v>1</v>
      </c>
      <c r="D21" s="4" t="s">
        <v>719</v>
      </c>
      <c r="E21" s="2"/>
      <c r="F21" s="2"/>
      <c r="G21" s="38"/>
    </row>
    <row r="22" spans="1:7" ht="15" customHeight="1" x14ac:dyDescent="0.25">
      <c r="A22" s="11" t="s">
        <v>698</v>
      </c>
      <c r="B22" s="10" t="e">
        <f>All_AC!B22+All_CO!B15+All_AO!B21</f>
        <v>#VALUE!</v>
      </c>
      <c r="C22" s="10" t="e">
        <f>All_AC!C22+All_CO!C15+All_AO!C21</f>
        <v>#VALUE!</v>
      </c>
      <c r="D22" s="10" t="e">
        <f>All_CO!D15+All_AO!D21</f>
        <v>#VALUE!</v>
      </c>
      <c r="E22" s="10" t="e">
        <f>All_AC!D22+All_CO!E15+All_AO!E21</f>
        <v>#VALUE!</v>
      </c>
      <c r="F22" s="10" t="e">
        <f>SUM(B22:E22)</f>
        <v>#VALUE!</v>
      </c>
    </row>
    <row r="23" spans="1:7" ht="15" customHeight="1" x14ac:dyDescent="0.25">
      <c r="A23" s="11" t="s">
        <v>699</v>
      </c>
      <c r="B23" s="10" t="e">
        <f>All_AC!B23+All_CO!B16+All_AO!B22</f>
        <v>#VALUE!</v>
      </c>
      <c r="C23" s="10" t="e">
        <f>All_AC!C23+All_CO!C16+All_AO!C22</f>
        <v>#VALUE!</v>
      </c>
      <c r="D23" s="10" t="e">
        <f>All_CO!D16+All_AO!D22</f>
        <v>#VALUE!</v>
      </c>
      <c r="E23" s="10" t="e">
        <f>All_AC!D23+All_CO!E16+All_AO!E22</f>
        <v>#VALUE!</v>
      </c>
      <c r="F23" s="10" t="e">
        <f t="shared" ref="F23:F36" si="2">SUM(B23:E23)</f>
        <v>#VALUE!</v>
      </c>
    </row>
    <row r="24" spans="1:7" ht="15" customHeight="1" x14ac:dyDescent="0.25">
      <c r="A24" s="11" t="s">
        <v>700</v>
      </c>
      <c r="B24" s="10" t="e">
        <f>All_AC!B24+All_CO!B17+All_AO!B23</f>
        <v>#VALUE!</v>
      </c>
      <c r="C24" s="10" t="e">
        <f>All_AC!C24+All_CO!C17+All_AO!C23</f>
        <v>#VALUE!</v>
      </c>
      <c r="D24" s="10" t="e">
        <f>All_CO!D17+All_AO!D23</f>
        <v>#VALUE!</v>
      </c>
      <c r="E24" s="10" t="e">
        <f>All_AC!D24+All_CO!E17+All_AO!E23</f>
        <v>#VALUE!</v>
      </c>
      <c r="F24" s="10" t="e">
        <f t="shared" si="2"/>
        <v>#VALUE!</v>
      </c>
    </row>
    <row r="25" spans="1:7" ht="15" customHeight="1" x14ac:dyDescent="0.25">
      <c r="A25" s="11" t="s">
        <v>701</v>
      </c>
      <c r="B25" s="10" t="e">
        <f>All_AC!B25+All_CO!B18+All_AO!B24</f>
        <v>#VALUE!</v>
      </c>
      <c r="C25" s="10" t="e">
        <f>All_AC!C25+All_CO!C18+All_AO!C24</f>
        <v>#VALUE!</v>
      </c>
      <c r="D25" s="10" t="e">
        <f>All_CO!D18+All_AO!D24</f>
        <v>#VALUE!</v>
      </c>
      <c r="E25" s="10" t="e">
        <f>All_AC!D25+All_CO!E18+All_AO!E24</f>
        <v>#VALUE!</v>
      </c>
      <c r="F25" s="10" t="e">
        <f t="shared" si="2"/>
        <v>#VALUE!</v>
      </c>
    </row>
    <row r="26" spans="1:7" ht="15" customHeight="1" x14ac:dyDescent="0.25">
      <c r="A26" s="11" t="s">
        <v>702</v>
      </c>
      <c r="B26" s="10" t="e">
        <f>All_AC!B26+All_CO!B19+All_AO!B25</f>
        <v>#VALUE!</v>
      </c>
      <c r="C26" s="10" t="e">
        <f>All_AC!C26+All_CO!C19+All_AO!C25</f>
        <v>#VALUE!</v>
      </c>
      <c r="D26" s="10" t="e">
        <f>All_CO!D19+All_AO!D25</f>
        <v>#VALUE!</v>
      </c>
      <c r="E26" s="10" t="e">
        <f>All_AC!D26+All_CO!E19+All_AO!E25</f>
        <v>#VALUE!</v>
      </c>
      <c r="F26" s="10" t="e">
        <f t="shared" si="2"/>
        <v>#VALUE!</v>
      </c>
    </row>
    <row r="27" spans="1:7" ht="15" customHeight="1" x14ac:dyDescent="0.25">
      <c r="A27" s="11" t="s">
        <v>703</v>
      </c>
      <c r="B27" s="10" t="e">
        <f>All_AC!B27+All_CO!B20+All_AO!B26</f>
        <v>#VALUE!</v>
      </c>
      <c r="C27" s="10" t="e">
        <f>All_AC!C27+All_CO!C20+All_AO!C26</f>
        <v>#VALUE!</v>
      </c>
      <c r="D27" s="10" t="e">
        <f>All_CO!D20+All_AO!D26</f>
        <v>#VALUE!</v>
      </c>
      <c r="E27" s="10" t="e">
        <f>All_AC!D27+All_CO!E20+All_AO!E26</f>
        <v>#VALUE!</v>
      </c>
      <c r="F27" s="10" t="e">
        <f t="shared" si="2"/>
        <v>#VALUE!</v>
      </c>
    </row>
    <row r="28" spans="1:7" ht="15" customHeight="1" x14ac:dyDescent="0.25">
      <c r="A28" s="11" t="s">
        <v>704</v>
      </c>
      <c r="B28" s="10" t="e">
        <f>All_AC!B28+All_CO!B21+All_AO!B27</f>
        <v>#VALUE!</v>
      </c>
      <c r="C28" s="10" t="e">
        <f>All_AC!C28+All_CO!C21+All_AO!C27</f>
        <v>#VALUE!</v>
      </c>
      <c r="D28" s="10" t="e">
        <f>All_CO!D21+All_AO!D27</f>
        <v>#VALUE!</v>
      </c>
      <c r="E28" s="10" t="e">
        <f>All_AC!D28+All_CO!E21+All_AO!E27</f>
        <v>#VALUE!</v>
      </c>
      <c r="F28" s="10" t="e">
        <f t="shared" si="2"/>
        <v>#VALUE!</v>
      </c>
    </row>
    <row r="29" spans="1:7" ht="15" customHeight="1" x14ac:dyDescent="0.25">
      <c r="A29" s="11" t="s">
        <v>705</v>
      </c>
      <c r="B29" s="10" t="e">
        <f>All_AC!B29+All_CO!B22+All_AO!B28</f>
        <v>#VALUE!</v>
      </c>
      <c r="C29" s="10" t="e">
        <f>All_AC!C29+All_CO!C22+All_AO!C28</f>
        <v>#VALUE!</v>
      </c>
      <c r="D29" s="10" t="e">
        <f>All_CO!D22+All_AO!D28</f>
        <v>#VALUE!</v>
      </c>
      <c r="E29" s="10" t="e">
        <f>All_AC!D29+All_CO!E22+All_AO!E28</f>
        <v>#VALUE!</v>
      </c>
      <c r="F29" s="10" t="e">
        <f t="shared" si="2"/>
        <v>#VALUE!</v>
      </c>
    </row>
    <row r="30" spans="1:7" ht="15" customHeight="1" x14ac:dyDescent="0.25">
      <c r="A30" s="11" t="s">
        <v>706</v>
      </c>
      <c r="B30" s="10" t="e">
        <f>All_AC!B30+All_CO!B23+All_AO!B29</f>
        <v>#VALUE!</v>
      </c>
      <c r="C30" s="10" t="e">
        <f>All_AC!C30+All_CO!C23+All_AO!C29</f>
        <v>#VALUE!</v>
      </c>
      <c r="D30" s="10" t="e">
        <f>All_CO!D23+All_AO!D29</f>
        <v>#VALUE!</v>
      </c>
      <c r="E30" s="10" t="e">
        <f>All_AC!D30+All_CO!E23+All_AO!E29</f>
        <v>#VALUE!</v>
      </c>
      <c r="F30" s="10" t="e">
        <f t="shared" si="2"/>
        <v>#VALUE!</v>
      </c>
    </row>
    <row r="31" spans="1:7" ht="15" customHeight="1" x14ac:dyDescent="0.25">
      <c r="A31" s="11" t="s">
        <v>707</v>
      </c>
      <c r="B31" s="10" t="e">
        <f>All_AC!B31+All_CO!B24+All_AO!B30</f>
        <v>#VALUE!</v>
      </c>
      <c r="C31" s="10" t="e">
        <f>All_AC!C31+All_CO!C24+All_AO!C30</f>
        <v>#VALUE!</v>
      </c>
      <c r="D31" s="10" t="e">
        <f>All_CO!D24+All_AO!D30</f>
        <v>#VALUE!</v>
      </c>
      <c r="E31" s="10" t="e">
        <f>All_AC!D31+All_CO!E24+All_AO!E30</f>
        <v>#VALUE!</v>
      </c>
      <c r="F31" s="10" t="e">
        <f t="shared" si="2"/>
        <v>#VALUE!</v>
      </c>
    </row>
    <row r="32" spans="1:7" ht="15" customHeight="1" x14ac:dyDescent="0.25">
      <c r="A32" s="11" t="s">
        <v>708</v>
      </c>
      <c r="B32" s="10" t="e">
        <f>All_AC!B32+All_CO!B25+All_AO!B31</f>
        <v>#VALUE!</v>
      </c>
      <c r="C32" s="10" t="e">
        <f>All_AC!C32+All_CO!C25+All_AO!C31</f>
        <v>#VALUE!</v>
      </c>
      <c r="D32" s="10" t="e">
        <f>All_CO!D25+All_AO!D31</f>
        <v>#VALUE!</v>
      </c>
      <c r="E32" s="10" t="e">
        <f>All_AC!D32+All_CO!E25+All_AO!E31</f>
        <v>#VALUE!</v>
      </c>
      <c r="F32" s="10" t="e">
        <f t="shared" si="2"/>
        <v>#VALUE!</v>
      </c>
    </row>
    <row r="33" spans="1:6" ht="15" customHeight="1" x14ac:dyDescent="0.25">
      <c r="A33" s="11" t="s">
        <v>709</v>
      </c>
      <c r="B33" s="10" t="e">
        <f>All_AC!B33+All_CO!B26+All_AO!B32</f>
        <v>#VALUE!</v>
      </c>
      <c r="C33" s="10" t="e">
        <f>All_AC!C33+All_CO!C26+All_AO!C32</f>
        <v>#VALUE!</v>
      </c>
      <c r="D33" s="10" t="e">
        <f>All_CO!D26+All_AO!D32</f>
        <v>#VALUE!</v>
      </c>
      <c r="E33" s="10" t="e">
        <f>All_AC!D33+All_CO!E26+All_AO!E32</f>
        <v>#VALUE!</v>
      </c>
      <c r="F33" s="10" t="e">
        <f t="shared" si="2"/>
        <v>#VALUE!</v>
      </c>
    </row>
    <row r="34" spans="1:6" ht="15" customHeight="1" x14ac:dyDescent="0.25">
      <c r="A34" s="11" t="s">
        <v>710</v>
      </c>
      <c r="B34" s="10" t="e">
        <f>All_AC!B34+All_CO!B27+All_AO!B33</f>
        <v>#VALUE!</v>
      </c>
      <c r="C34" s="10" t="e">
        <f>All_AC!C34+All_CO!C27+All_AO!C33</f>
        <v>#VALUE!</v>
      </c>
      <c r="D34" s="10" t="e">
        <f>All_CO!D27+All_AO!D33</f>
        <v>#VALUE!</v>
      </c>
      <c r="E34" s="10" t="e">
        <f>All_AC!D34+All_CO!E27+All_AO!E33</f>
        <v>#VALUE!</v>
      </c>
      <c r="F34" s="10" t="e">
        <f t="shared" si="2"/>
        <v>#VALUE!</v>
      </c>
    </row>
    <row r="35" spans="1:6" ht="15" customHeight="1" x14ac:dyDescent="0.25">
      <c r="A35" s="11" t="s">
        <v>711</v>
      </c>
      <c r="B35" s="10" t="e">
        <f>All_AC!B35+All_CO!B28+All_AO!B34</f>
        <v>#VALUE!</v>
      </c>
      <c r="C35" s="10" t="e">
        <f>All_AC!C35+All_CO!C28+All_AO!C34</f>
        <v>#VALUE!</v>
      </c>
      <c r="D35" s="10" t="e">
        <f>All_CO!D28+All_AO!D34</f>
        <v>#VALUE!</v>
      </c>
      <c r="E35" s="10" t="e">
        <f>All_AC!D35+All_CO!E28+All_AO!E34</f>
        <v>#VALUE!</v>
      </c>
      <c r="F35" s="10" t="e">
        <f t="shared" si="2"/>
        <v>#VALUE!</v>
      </c>
    </row>
    <row r="36" spans="1:6" ht="15" customHeight="1" x14ac:dyDescent="0.25">
      <c r="A36" s="11" t="s">
        <v>712</v>
      </c>
      <c r="B36" s="10" t="e">
        <f>All_AC!B36+All_CO!B29+All_AO!B35</f>
        <v>#VALUE!</v>
      </c>
      <c r="C36" s="10" t="e">
        <f>All_AC!C36+All_CO!C29+All_AO!C35</f>
        <v>#VALUE!</v>
      </c>
      <c r="D36" s="10" t="e">
        <f>All_CO!D29+All_AO!D35</f>
        <v>#VALUE!</v>
      </c>
      <c r="E36" s="10" t="e">
        <f>All_AC!D36+All_CO!E29+All_AO!E35</f>
        <v>#VALUE!</v>
      </c>
      <c r="F36" s="10" t="e">
        <f t="shared" si="2"/>
        <v>#VALUE!</v>
      </c>
    </row>
    <row r="37" spans="1:6" ht="18" customHeight="1" x14ac:dyDescent="0.25">
      <c r="B37" s="16"/>
      <c r="C37" s="16"/>
      <c r="D37" s="17"/>
      <c r="E37" s="16"/>
      <c r="F37" s="16"/>
    </row>
    <row r="38" spans="1:6" ht="21" customHeight="1" x14ac:dyDescent="0.25">
      <c r="B38" s="2" t="s">
        <v>4</v>
      </c>
      <c r="C38" s="2"/>
      <c r="D38" s="2"/>
      <c r="E38" s="3" t="s">
        <v>5</v>
      </c>
      <c r="F38" s="2" t="s">
        <v>2</v>
      </c>
    </row>
    <row r="39" spans="1:6" ht="18" customHeight="1" x14ac:dyDescent="0.25">
      <c r="A39" s="48" t="s">
        <v>15</v>
      </c>
      <c r="B39" s="4" t="s">
        <v>0</v>
      </c>
      <c r="C39" s="4" t="s">
        <v>1</v>
      </c>
      <c r="D39" s="4" t="s">
        <v>719</v>
      </c>
      <c r="E39" s="2"/>
      <c r="F39" s="2"/>
    </row>
    <row r="40" spans="1:6" ht="15" customHeight="1" x14ac:dyDescent="0.25">
      <c r="A40" s="7" t="s">
        <v>17</v>
      </c>
      <c r="B40" s="10" t="e">
        <f>All_AC!B41+All_CO!B33+All_AO!B39</f>
        <v>#VALUE!</v>
      </c>
      <c r="C40" s="25" t="s">
        <v>697</v>
      </c>
      <c r="D40" s="10" t="e">
        <f>All_CO!D33+All_AO!D39</f>
        <v>#VALUE!</v>
      </c>
      <c r="E40" s="10" t="e">
        <f>All_AC!D41+All_CO!E33+All_AO!E39</f>
        <v>#VALUE!</v>
      </c>
      <c r="F40" s="10" t="e">
        <f>SUM(B40:E40)</f>
        <v>#VALUE!</v>
      </c>
    </row>
    <row r="41" spans="1:6" ht="15" customHeight="1" x14ac:dyDescent="0.25"/>
    <row r="42" spans="1:6" hidden="1" x14ac:dyDescent="0.25">
      <c r="A42" s="13"/>
      <c r="B42" s="18"/>
      <c r="C42" s="5"/>
      <c r="D42" s="5"/>
      <c r="E42" s="5"/>
      <c r="F42" s="5"/>
    </row>
    <row r="44" spans="1:6" hidden="1" x14ac:dyDescent="0.25">
      <c r="A44" s="19"/>
    </row>
    <row r="45" spans="1:6" hidden="1" x14ac:dyDescent="0.25">
      <c r="A45" s="20"/>
    </row>
    <row r="46" spans="1:6" hidden="1" x14ac:dyDescent="0.25">
      <c r="A46" s="21"/>
    </row>
    <row r="47" spans="1:6" hidden="1" x14ac:dyDescent="0.25">
      <c r="A47" s="20"/>
    </row>
    <row r="48" spans="1:6" hidden="1" x14ac:dyDescent="0.25">
      <c r="A48" s="20"/>
    </row>
    <row r="49" spans="1:1" hidden="1" x14ac:dyDescent="0.25">
      <c r="A49" s="20"/>
    </row>
    <row r="50" spans="1:1" hidden="1" x14ac:dyDescent="0.25">
      <c r="A50" s="20"/>
    </row>
    <row r="51" spans="1:1" hidden="1" x14ac:dyDescent="0.25">
      <c r="A51" s="20"/>
    </row>
    <row r="52" spans="1:1" hidden="1" x14ac:dyDescent="0.25">
      <c r="A52" s="20"/>
    </row>
    <row r="56" spans="1:1" hidden="1" x14ac:dyDescent="0.25">
      <c r="A56" s="22"/>
    </row>
    <row r="57" spans="1:1" hidden="1" x14ac:dyDescent="0.25">
      <c r="A57" s="23"/>
    </row>
    <row r="58" spans="1:1" hidden="1" x14ac:dyDescent="0.25">
      <c r="A58" s="20"/>
    </row>
    <row r="59" spans="1:1" hidden="1" x14ac:dyDescent="0.25">
      <c r="A59" s="20"/>
    </row>
    <row r="60" spans="1:1" hidden="1" x14ac:dyDescent="0.25">
      <c r="A60" s="20"/>
    </row>
    <row r="61" spans="1:1" hidden="1" x14ac:dyDescent="0.25">
      <c r="A61" s="20"/>
    </row>
    <row r="62" spans="1:1" hidden="1" x14ac:dyDescent="0.25">
      <c r="A62" s="20"/>
    </row>
    <row r="63" spans="1:1" hidden="1" x14ac:dyDescent="0.25">
      <c r="A63" s="20"/>
    </row>
    <row r="64" spans="1:1" hidden="1" x14ac:dyDescent="0.25">
      <c r="A64" s="21"/>
    </row>
    <row r="65" spans="1:1" hidden="1" x14ac:dyDescent="0.25">
      <c r="A65" s="20"/>
    </row>
    <row r="66" spans="1:1" hidden="1" x14ac:dyDescent="0.25">
      <c r="A66" s="21"/>
    </row>
    <row r="67" spans="1:1" hidden="1" x14ac:dyDescent="0.25">
      <c r="A67" s="20"/>
    </row>
    <row r="68" spans="1:1" hidden="1" x14ac:dyDescent="0.25">
      <c r="A68" s="20"/>
    </row>
    <row r="69" spans="1:1" hidden="1" x14ac:dyDescent="0.25">
      <c r="A69" s="20"/>
    </row>
    <row r="70" spans="1:1" hidden="1" x14ac:dyDescent="0.25">
      <c r="A70" s="20"/>
    </row>
    <row r="71" spans="1:1" hidden="1" x14ac:dyDescent="0.25">
      <c r="A71" s="20"/>
    </row>
    <row r="72" spans="1:1" hidden="1" x14ac:dyDescent="0.25">
      <c r="A72" s="20"/>
    </row>
  </sheetData>
  <sheetProtection algorithmName="SHA-512" hashValue="YywJVq0oct7JQsOAQVuTaMs2C0d5A31DvSOAWjO9EySnAVODglDDM7kbU++6nOtfmcAQItXuXNjjQ74M/uGGaA==" saltValue="r5WmbbWVQnCohHfNodQzWw==" spinCount="100000" sheet="1" objects="1" scenarios="1"/>
  <conditionalFormatting sqref="A3:F3">
    <cfRule type="expression" dxfId="12" priority="1">
      <formula>$A$3="PASTE DATA INTO THE 'PitRawData' TAB TO POPULATE THIS TEMPLATE."</formula>
    </cfRule>
  </conditionalFormatting>
  <pageMargins left="0.25" right="0.25" top="0.75" bottom="0.75" header="0.3" footer="0.3"/>
  <pageSetup orientation="landscape" r:id="rId1"/>
  <rowBreaks count="2" manualBreakCount="2">
    <brk id="18" max="5" man="1"/>
    <brk id="41"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5F92-233F-4AB2-B1D2-E1DD43062331}">
  <sheetPr codeName="Sheet19"/>
  <dimension ref="A1:L38"/>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2" width="8.85546875" style="6" hidden="1" customWidth="1"/>
    <col min="13" max="16384" width="9.140625" style="6" hidden="1"/>
  </cols>
  <sheetData>
    <row r="1" spans="1:11" ht="21" customHeight="1" x14ac:dyDescent="0.25">
      <c r="A1" s="39" t="s">
        <v>726</v>
      </c>
      <c r="B1" s="46"/>
      <c r="C1" s="46"/>
      <c r="D1" s="46"/>
      <c r="E1" s="46"/>
      <c r="F1" s="46"/>
      <c r="G1" s="37"/>
    </row>
    <row r="2" spans="1:11" ht="18" customHeight="1" x14ac:dyDescent="0.25">
      <c r="A2" s="45" t="str">
        <f>HeadingLine2</f>
        <v/>
      </c>
      <c r="B2" s="46"/>
      <c r="C2" s="46"/>
      <c r="D2" s="46"/>
      <c r="E2" s="46"/>
      <c r="F2" s="46"/>
      <c r="G2" s="37"/>
    </row>
    <row r="3" spans="1:11" ht="18" customHeight="1" x14ac:dyDescent="0.25">
      <c r="A3" s="45" t="str">
        <f>HeadingLine3</f>
        <v>PASTE DATA INTO THE 'PitRawData' TAB TO POPULATE THIS TEMPLATE.</v>
      </c>
      <c r="B3" s="46"/>
      <c r="C3" s="46"/>
      <c r="D3" s="46"/>
      <c r="E3" s="46"/>
      <c r="F3" s="46"/>
      <c r="G3" s="37"/>
    </row>
    <row r="4" spans="1:11" ht="18" customHeight="1" x14ac:dyDescent="0.25">
      <c r="A4" s="45" t="str">
        <f>HeadingLine4</f>
        <v/>
      </c>
      <c r="B4" s="46"/>
      <c r="C4" s="46"/>
      <c r="D4" s="46"/>
      <c r="E4" s="46"/>
      <c r="F4" s="46"/>
      <c r="G4" s="37"/>
    </row>
    <row r="5" spans="1:11" ht="18" customHeight="1" x14ac:dyDescent="0.25">
      <c r="A5" s="39"/>
      <c r="B5" s="36"/>
      <c r="C5" s="37"/>
      <c r="D5" s="37"/>
      <c r="E5" s="37"/>
      <c r="F5" s="37"/>
      <c r="G5" s="37"/>
    </row>
    <row r="6" spans="1:11" ht="18" customHeight="1" x14ac:dyDescent="0.3">
      <c r="A6" s="47" t="s">
        <v>682</v>
      </c>
      <c r="B6" s="37"/>
      <c r="C6" s="37"/>
      <c r="D6" s="37"/>
      <c r="E6" s="37"/>
      <c r="F6" s="37"/>
      <c r="G6" s="37"/>
    </row>
    <row r="7" spans="1:11" ht="15" customHeight="1" x14ac:dyDescent="0.25">
      <c r="A7" s="40"/>
      <c r="B7" s="37"/>
      <c r="C7" s="37"/>
      <c r="D7" s="37"/>
      <c r="E7" s="37"/>
      <c r="F7" s="37"/>
      <c r="G7" s="37"/>
    </row>
    <row r="8" spans="1:11" ht="21" customHeight="1" x14ac:dyDescent="0.25">
      <c r="B8" s="2" t="s">
        <v>4</v>
      </c>
      <c r="C8" s="2"/>
      <c r="D8" s="2"/>
      <c r="E8" s="3" t="s">
        <v>5</v>
      </c>
      <c r="F8" s="2" t="s">
        <v>2</v>
      </c>
      <c r="G8" s="22"/>
    </row>
    <row r="9" spans="1:11" ht="18" customHeight="1" x14ac:dyDescent="0.25">
      <c r="A9" s="48" t="s">
        <v>3</v>
      </c>
      <c r="B9" s="4" t="s">
        <v>0</v>
      </c>
      <c r="C9" s="4" t="s">
        <v>1</v>
      </c>
      <c r="D9" s="4" t="s">
        <v>719</v>
      </c>
      <c r="E9" s="2"/>
      <c r="F9" s="2"/>
      <c r="G9" s="38"/>
    </row>
    <row r="10" spans="1:11" ht="15" customHeight="1" x14ac:dyDescent="0.25">
      <c r="A10" s="7" t="s">
        <v>22</v>
      </c>
      <c r="B10" s="12" t="str">
        <f>IFERROR(INDEX(PitRawData!$A$1:$AMK$3,3,MATCH(H10,PitRawData!$A$1:$AMK$1,0)),"NO DATA")</f>
        <v>NO DATA</v>
      </c>
      <c r="C10" s="12" t="str">
        <f>IFERROR(INDEX(PitRawData!$A$1:$AMK$3,3,MATCH(I10,PitRawData!$A$1:$AMK$1,0)),"NO DATA")</f>
        <v>NO DATA</v>
      </c>
      <c r="D10" s="12" t="str">
        <f>IFERROR(INDEX(PitRawData!$A$1:$AMK$3,3,MATCH(J10,PitRawData!$A$1:$AMK$1,0)),"NO DATA")</f>
        <v>NO DATA</v>
      </c>
      <c r="E10" s="12" t="str">
        <f>IFERROR(INDEX(PitRawData!$A$1:$AMK$3,3,MATCH(K10,PitRawData!$A$1:$AMK$1,0)),"NO DATA")</f>
        <v>NO DATA</v>
      </c>
      <c r="F10" s="10">
        <f>SUM(B10:E10)</f>
        <v>0</v>
      </c>
      <c r="G10" s="38"/>
      <c r="H10" s="17" t="s">
        <v>417</v>
      </c>
      <c r="I10" s="17" t="s">
        <v>398</v>
      </c>
      <c r="J10" s="6" t="s">
        <v>380</v>
      </c>
      <c r="K10" s="17" t="s">
        <v>361</v>
      </c>
    </row>
    <row r="11" spans="1:11" ht="15" customHeight="1" x14ac:dyDescent="0.25">
      <c r="A11" s="7" t="s">
        <v>21</v>
      </c>
      <c r="B11" s="10">
        <f>SUM(B12:B13)</f>
        <v>0</v>
      </c>
      <c r="C11" s="10">
        <f t="shared" ref="C11:E11" si="0">SUM(C12:C13)</f>
        <v>0</v>
      </c>
      <c r="D11" s="10">
        <f t="shared" si="0"/>
        <v>0</v>
      </c>
      <c r="E11" s="10">
        <f t="shared" si="0"/>
        <v>0</v>
      </c>
      <c r="F11" s="10">
        <f t="shared" ref="F11:F13" si="1">SUM(B11:E11)</f>
        <v>0</v>
      </c>
      <c r="G11" s="38"/>
    </row>
    <row r="12" spans="1:11" ht="15" customHeight="1" x14ac:dyDescent="0.25">
      <c r="A12" s="11" t="s">
        <v>686</v>
      </c>
      <c r="B12" s="12" t="str">
        <f>IFERROR(INDEX(PitRawData!$A$1:$AMK$3,3,MATCH(H12,PitRawData!$A$1:$AMK$1,0)),"NO DATA")</f>
        <v>NO DATA</v>
      </c>
      <c r="C12" s="12" t="str">
        <f>IFERROR(INDEX(PitRawData!$A$1:$AMK$3,3,MATCH(I12,PitRawData!$A$1:$AMK$1,0)),"NO DATA")</f>
        <v>NO DATA</v>
      </c>
      <c r="D12" s="12" t="str">
        <f>IFERROR(INDEX(PitRawData!$A$1:$AMK$3,3,MATCH(J12,PitRawData!$A$1:$AMK$1,0)),"NO DATA")</f>
        <v>NO DATA</v>
      </c>
      <c r="E12" s="12" t="str">
        <f>IFERROR(INDEX(PitRawData!$A$1:$AMK$3,3,MATCH(K12,PitRawData!$A$1:$AMK$1,0)),"NO DATA")</f>
        <v>NO DATA</v>
      </c>
      <c r="F12" s="10">
        <f t="shared" si="1"/>
        <v>0</v>
      </c>
      <c r="G12" s="38"/>
      <c r="H12" s="17" t="s">
        <v>416</v>
      </c>
      <c r="I12" s="17" t="s">
        <v>397</v>
      </c>
      <c r="J12" s="6" t="s">
        <v>379</v>
      </c>
      <c r="K12" s="17" t="s">
        <v>360</v>
      </c>
    </row>
    <row r="13" spans="1:11" ht="15" customHeight="1" x14ac:dyDescent="0.25">
      <c r="A13" s="11" t="s">
        <v>720</v>
      </c>
      <c r="B13" s="12" t="str">
        <f>IFERROR(INDEX(PitRawData!$A$1:$AMK$3,3,MATCH(H13,PitRawData!$A$1:$AMK$1,0)),"NO DATA")</f>
        <v>NO DATA</v>
      </c>
      <c r="C13" s="12" t="str">
        <f>IFERROR(INDEX(PitRawData!$A$1:$AMK$3,3,MATCH(I13,PitRawData!$A$1:$AMK$1,0)),"NO DATA")</f>
        <v>NO DATA</v>
      </c>
      <c r="D13" s="12" t="str">
        <f>IFERROR(INDEX(PitRawData!$A$1:$AMK$3,3,MATCH(J13,PitRawData!$A$1:$AMK$1,0)),"NO DATA")</f>
        <v>NO DATA</v>
      </c>
      <c r="E13" s="12" t="str">
        <f>IFERROR(INDEX(PitRawData!$A$1:$AMK$3,3,MATCH(K13,PitRawData!$A$1:$AMK$1,0)),"NO DATA")</f>
        <v>NO DATA</v>
      </c>
      <c r="F13" s="10">
        <f t="shared" si="1"/>
        <v>0</v>
      </c>
      <c r="H13" s="6" t="s">
        <v>415</v>
      </c>
      <c r="I13" s="6" t="s">
        <v>396</v>
      </c>
      <c r="J13" s="6" t="s">
        <v>378</v>
      </c>
      <c r="K13" s="6" t="s">
        <v>359</v>
      </c>
    </row>
    <row r="14" spans="1:11" ht="15" customHeight="1" x14ac:dyDescent="0.25"/>
    <row r="15" spans="1:11" ht="21" customHeight="1" x14ac:dyDescent="0.25">
      <c r="B15" s="2" t="s">
        <v>4</v>
      </c>
      <c r="C15" s="2"/>
      <c r="D15" s="2"/>
      <c r="E15" s="3" t="s">
        <v>5</v>
      </c>
      <c r="F15" s="2" t="s">
        <v>2</v>
      </c>
      <c r="G15" s="38"/>
    </row>
    <row r="16" spans="1:11" ht="18" customHeight="1" x14ac:dyDescent="0.25">
      <c r="A16" s="48" t="s">
        <v>713</v>
      </c>
      <c r="B16" s="4" t="s">
        <v>0</v>
      </c>
      <c r="C16" s="4" t="s">
        <v>1</v>
      </c>
      <c r="D16" s="4" t="s">
        <v>719</v>
      </c>
      <c r="E16" s="2"/>
      <c r="F16" s="2"/>
      <c r="G16" s="38"/>
    </row>
    <row r="17" spans="1:11" ht="15" customHeight="1" x14ac:dyDescent="0.25">
      <c r="A17" s="11" t="s">
        <v>698</v>
      </c>
      <c r="B17" s="12" t="str">
        <f>IFERROR(INDEX(PitRawData!$A$1:$AMK$3,3,MATCH(H17,PitRawData!$A$1:$AMK$1,0)),"NO DATA")</f>
        <v>NO DATA</v>
      </c>
      <c r="C17" s="12" t="str">
        <f>IFERROR(INDEX(PitRawData!$A$1:$AMK$3,3,MATCH(I17,PitRawData!$A$1:$AMK$1,0)),"NO DATA")</f>
        <v>NO DATA</v>
      </c>
      <c r="D17" s="12" t="str">
        <f>IFERROR(INDEX(PitRawData!$A$1:$AMK$3,3,MATCH(J17,PitRawData!$A$1:$AMK$1,0)),"NO DATA")</f>
        <v>NO DATA</v>
      </c>
      <c r="E17" s="12" t="str">
        <f>IFERROR(INDEX(PitRawData!$A$1:$AMK$3,3,MATCH(K17,PitRawData!$A$1:$AMK$1,0)),"NO DATA")</f>
        <v>NO DATA</v>
      </c>
      <c r="F17" s="10">
        <f>SUM(B17:E17)</f>
        <v>0</v>
      </c>
      <c r="H17" s="6" t="s">
        <v>412</v>
      </c>
      <c r="I17" s="6" t="s">
        <v>393</v>
      </c>
      <c r="J17" s="6" t="s">
        <v>375</v>
      </c>
      <c r="K17" s="6" t="s">
        <v>356</v>
      </c>
    </row>
    <row r="18" spans="1:11" ht="15" customHeight="1" x14ac:dyDescent="0.25">
      <c r="A18" s="11" t="s">
        <v>699</v>
      </c>
      <c r="B18" s="12" t="str">
        <f>IFERROR(INDEX(PitRawData!$A$1:$AMK$3,3,MATCH(H18,PitRawData!$A$1:$AMK$1,0)),"NO DATA")</f>
        <v>NO DATA</v>
      </c>
      <c r="C18" s="12" t="str">
        <f>IFERROR(INDEX(PitRawData!$A$1:$AMK$3,3,MATCH(I18,PitRawData!$A$1:$AMK$1,0)),"NO DATA")</f>
        <v>NO DATA</v>
      </c>
      <c r="D18" s="12" t="str">
        <f>IFERROR(INDEX(PitRawData!$A$1:$AMK$3,3,MATCH(J18,PitRawData!$A$1:$AMK$1,0)),"NO DATA")</f>
        <v>NO DATA</v>
      </c>
      <c r="E18" s="12" t="str">
        <f>IFERROR(INDEX(PitRawData!$A$1:$AMK$3,3,MATCH(K18,PitRawData!$A$1:$AMK$1,0)),"NO DATA")</f>
        <v>NO DATA</v>
      </c>
      <c r="F18" s="10">
        <f t="shared" ref="F18:F31" si="2">SUM(B18:E18)</f>
        <v>0</v>
      </c>
      <c r="H18" s="6" t="s">
        <v>413</v>
      </c>
      <c r="I18" s="6" t="s">
        <v>394</v>
      </c>
      <c r="J18" s="6" t="s">
        <v>376</v>
      </c>
      <c r="K18" s="6" t="s">
        <v>357</v>
      </c>
    </row>
    <row r="19" spans="1:11" ht="15" customHeight="1" x14ac:dyDescent="0.25">
      <c r="A19" s="11" t="s">
        <v>700</v>
      </c>
      <c r="B19" s="12" t="str">
        <f>IFERROR(INDEX(PitRawData!$A$1:$AMK$3,3,MATCH(H19,PitRawData!$A$1:$AMK$1,0)),"NO DATA")</f>
        <v>NO DATA</v>
      </c>
      <c r="C19" s="12" t="str">
        <f>IFERROR(INDEX(PitRawData!$A$1:$AMK$3,3,MATCH(I19,PitRawData!$A$1:$AMK$1,0)),"NO DATA")</f>
        <v>NO DATA</v>
      </c>
      <c r="D19" s="12" t="str">
        <f>IFERROR(INDEX(PitRawData!$A$1:$AMK$3,3,MATCH(J19,PitRawData!$A$1:$AMK$1,0)),"NO DATA")</f>
        <v>NO DATA</v>
      </c>
      <c r="E19" s="12" t="str">
        <f>IFERROR(INDEX(PitRawData!$A$1:$AMK$3,3,MATCH(K19,PitRawData!$A$1:$AMK$1,0)),"NO DATA")</f>
        <v>NO DATA</v>
      </c>
      <c r="F19" s="10">
        <f t="shared" si="2"/>
        <v>0</v>
      </c>
      <c r="H19" s="6" t="s">
        <v>410</v>
      </c>
      <c r="I19" s="6" t="s">
        <v>391</v>
      </c>
      <c r="J19" s="6" t="s">
        <v>373</v>
      </c>
      <c r="K19" s="6" t="s">
        <v>354</v>
      </c>
    </row>
    <row r="20" spans="1:11" ht="15" customHeight="1" x14ac:dyDescent="0.25">
      <c r="A20" s="11" t="s">
        <v>701</v>
      </c>
      <c r="B20" s="12" t="str">
        <f>IFERROR(INDEX(PitRawData!$A$1:$AMK$3,3,MATCH(H20,PitRawData!$A$1:$AMK$1,0)),"NO DATA")</f>
        <v>NO DATA</v>
      </c>
      <c r="C20" s="12" t="str">
        <f>IFERROR(INDEX(PitRawData!$A$1:$AMK$3,3,MATCH(I20,PitRawData!$A$1:$AMK$1,0)),"NO DATA")</f>
        <v>NO DATA</v>
      </c>
      <c r="D20" s="12" t="str">
        <f>IFERROR(INDEX(PitRawData!$A$1:$AMK$3,3,MATCH(J20,PitRawData!$A$1:$AMK$1,0)),"NO DATA")</f>
        <v>NO DATA</v>
      </c>
      <c r="E20" s="12" t="str">
        <f>IFERROR(INDEX(PitRawData!$A$1:$AMK$3,3,MATCH(K20,PitRawData!$A$1:$AMK$1,0)),"NO DATA")</f>
        <v>NO DATA</v>
      </c>
      <c r="F20" s="10">
        <f t="shared" si="2"/>
        <v>0</v>
      </c>
      <c r="H20" s="6" t="s">
        <v>411</v>
      </c>
      <c r="I20" s="6" t="s">
        <v>392</v>
      </c>
      <c r="J20" s="6" t="s">
        <v>374</v>
      </c>
      <c r="K20" s="6" t="s">
        <v>355</v>
      </c>
    </row>
    <row r="21" spans="1:11" ht="15" customHeight="1" x14ac:dyDescent="0.25">
      <c r="A21" s="11" t="s">
        <v>702</v>
      </c>
      <c r="B21" s="12" t="str">
        <f>IFERROR(INDEX(PitRawData!$A$1:$AMK$3,3,MATCH(H21,PitRawData!$A$1:$AMK$1,0)),"NO DATA")</f>
        <v>NO DATA</v>
      </c>
      <c r="C21" s="12" t="str">
        <f>IFERROR(INDEX(PitRawData!$A$1:$AMK$3,3,MATCH(I21,PitRawData!$A$1:$AMK$1,0)),"NO DATA")</f>
        <v>NO DATA</v>
      </c>
      <c r="D21" s="12" t="str">
        <f>IFERROR(INDEX(PitRawData!$A$1:$AMK$3,3,MATCH(J21,PitRawData!$A$1:$AMK$1,0)),"NO DATA")</f>
        <v>NO DATA</v>
      </c>
      <c r="E21" s="12" t="str">
        <f>IFERROR(INDEX(PitRawData!$A$1:$AMK$3,3,MATCH(K21,PitRawData!$A$1:$AMK$1,0)),"NO DATA")</f>
        <v>NO DATA</v>
      </c>
      <c r="F21" s="10">
        <f t="shared" si="2"/>
        <v>0</v>
      </c>
      <c r="H21" s="6" t="s">
        <v>408</v>
      </c>
      <c r="I21" s="6" t="s">
        <v>389</v>
      </c>
      <c r="J21" s="6" t="s">
        <v>371</v>
      </c>
      <c r="K21" s="6" t="s">
        <v>352</v>
      </c>
    </row>
    <row r="22" spans="1:11" ht="15" customHeight="1" x14ac:dyDescent="0.25">
      <c r="A22" s="11" t="s">
        <v>703</v>
      </c>
      <c r="B22" s="12" t="str">
        <f>IFERROR(INDEX(PitRawData!$A$1:$AMK$3,3,MATCH(H22,PitRawData!$A$1:$AMK$1,0)),"NO DATA")</f>
        <v>NO DATA</v>
      </c>
      <c r="C22" s="12" t="str">
        <f>IFERROR(INDEX(PitRawData!$A$1:$AMK$3,3,MATCH(I22,PitRawData!$A$1:$AMK$1,0)),"NO DATA")</f>
        <v>NO DATA</v>
      </c>
      <c r="D22" s="12" t="str">
        <f>IFERROR(INDEX(PitRawData!$A$1:$AMK$3,3,MATCH(J22,PitRawData!$A$1:$AMK$1,0)),"NO DATA")</f>
        <v>NO DATA</v>
      </c>
      <c r="E22" s="12" t="str">
        <f>IFERROR(INDEX(PitRawData!$A$1:$AMK$3,3,MATCH(K22,PitRawData!$A$1:$AMK$1,0)),"NO DATA")</f>
        <v>NO DATA</v>
      </c>
      <c r="F22" s="10">
        <f t="shared" si="2"/>
        <v>0</v>
      </c>
      <c r="H22" s="6" t="s">
        <v>409</v>
      </c>
      <c r="I22" s="6" t="s">
        <v>390</v>
      </c>
      <c r="J22" s="6" t="s">
        <v>372</v>
      </c>
      <c r="K22" s="6" t="s">
        <v>353</v>
      </c>
    </row>
    <row r="23" spans="1:11" ht="15" customHeight="1" x14ac:dyDescent="0.25">
      <c r="A23" s="11" t="s">
        <v>704</v>
      </c>
      <c r="B23" s="12" t="str">
        <f>IFERROR(INDEX(PitRawData!$A$1:$AMK$3,3,MATCH(H23,PitRawData!$A$1:$AMK$1,0)),"NO DATA")</f>
        <v>NO DATA</v>
      </c>
      <c r="C23" s="12" t="str">
        <f>IFERROR(INDEX(PitRawData!$A$1:$AMK$3,3,MATCH(I23,PitRawData!$A$1:$AMK$1,0)),"NO DATA")</f>
        <v>NO DATA</v>
      </c>
      <c r="D23" s="12" t="str">
        <f>IFERROR(INDEX(PitRawData!$A$1:$AMK$3,3,MATCH(J23,PitRawData!$A$1:$AMK$1,0)),"NO DATA")</f>
        <v>NO DATA</v>
      </c>
      <c r="E23" s="12" t="str">
        <f>IFERROR(INDEX(PitRawData!$A$1:$AMK$3,3,MATCH(K23,PitRawData!$A$1:$AMK$1,0)),"NO DATA")</f>
        <v>NO DATA</v>
      </c>
      <c r="F23" s="10">
        <f t="shared" si="2"/>
        <v>0</v>
      </c>
      <c r="H23" s="6" t="s">
        <v>414</v>
      </c>
      <c r="I23" s="6" t="s">
        <v>395</v>
      </c>
      <c r="J23" s="6" t="s">
        <v>377</v>
      </c>
      <c r="K23" s="6" t="s">
        <v>358</v>
      </c>
    </row>
    <row r="24" spans="1:11" ht="15" customHeight="1" x14ac:dyDescent="0.25">
      <c r="A24" s="11" t="s">
        <v>705</v>
      </c>
      <c r="B24" s="12" t="str">
        <f>IFERROR(INDEX(PitRawData!$A$1:$AMK$3,3,MATCH(H24,PitRawData!$A$1:$AMK$1,0)),"NO DATA")</f>
        <v>NO DATA</v>
      </c>
      <c r="C24" s="12" t="str">
        <f>IFERROR(INDEX(PitRawData!$A$1:$AMK$3,3,MATCH(I24,PitRawData!$A$1:$AMK$1,0)),"NO DATA")</f>
        <v>NO DATA</v>
      </c>
      <c r="D24" s="12" t="str">
        <f>IFERROR(INDEX(PitRawData!$A$1:$AMK$3,3,MATCH(J24,PitRawData!$A$1:$AMK$1,0)),"NO DATA")</f>
        <v>NO DATA</v>
      </c>
      <c r="E24" s="12" t="str">
        <f>IFERROR(INDEX(PitRawData!$A$1:$AMK$3,3,MATCH(K24,PitRawData!$A$1:$AMK$1,0)),"NO DATA")</f>
        <v>NO DATA</v>
      </c>
      <c r="F24" s="10">
        <f t="shared" si="2"/>
        <v>0</v>
      </c>
      <c r="H24" s="6" t="s">
        <v>406</v>
      </c>
      <c r="I24" s="6" t="s">
        <v>387</v>
      </c>
      <c r="J24" s="6" t="s">
        <v>369</v>
      </c>
      <c r="K24" s="6" t="s">
        <v>350</v>
      </c>
    </row>
    <row r="25" spans="1:11" ht="15" customHeight="1" x14ac:dyDescent="0.25">
      <c r="A25" s="11" t="s">
        <v>706</v>
      </c>
      <c r="B25" s="12" t="str">
        <f>IFERROR(INDEX(PitRawData!$A$1:$AMK$3,3,MATCH(H25,PitRawData!$A$1:$AMK$1,0)),"NO DATA")</f>
        <v>NO DATA</v>
      </c>
      <c r="C25" s="12" t="str">
        <f>IFERROR(INDEX(PitRawData!$A$1:$AMK$3,3,MATCH(I25,PitRawData!$A$1:$AMK$1,0)),"NO DATA")</f>
        <v>NO DATA</v>
      </c>
      <c r="D25" s="12" t="str">
        <f>IFERROR(INDEX(PitRawData!$A$1:$AMK$3,3,MATCH(J25,PitRawData!$A$1:$AMK$1,0)),"NO DATA")</f>
        <v>NO DATA</v>
      </c>
      <c r="E25" s="12" t="str">
        <f>IFERROR(INDEX(PitRawData!$A$1:$AMK$3,3,MATCH(K25,PitRawData!$A$1:$AMK$1,0)),"NO DATA")</f>
        <v>NO DATA</v>
      </c>
      <c r="F25" s="10">
        <f t="shared" si="2"/>
        <v>0</v>
      </c>
      <c r="H25" s="6" t="s">
        <v>407</v>
      </c>
      <c r="I25" s="6" t="s">
        <v>388</v>
      </c>
      <c r="J25" s="6" t="s">
        <v>370</v>
      </c>
      <c r="K25" s="6" t="s">
        <v>351</v>
      </c>
    </row>
    <row r="26" spans="1:11" ht="15" customHeight="1" x14ac:dyDescent="0.25">
      <c r="A26" s="11" t="s">
        <v>707</v>
      </c>
      <c r="B26" s="12" t="str">
        <f>IFERROR(INDEX(PitRawData!$A$1:$AMK$3,3,MATCH(H26,PitRawData!$A$1:$AMK$1,0)),"NO DATA")</f>
        <v>NO DATA</v>
      </c>
      <c r="C26" s="12" t="str">
        <f>IFERROR(INDEX(PitRawData!$A$1:$AMK$3,3,MATCH(I26,PitRawData!$A$1:$AMK$1,0)),"NO DATA")</f>
        <v>NO DATA</v>
      </c>
      <c r="D26" s="12" t="str">
        <f>IFERROR(INDEX(PitRawData!$A$1:$AMK$3,3,MATCH(J26,PitRawData!$A$1:$AMK$1,0)),"NO DATA")</f>
        <v>NO DATA</v>
      </c>
      <c r="E26" s="12" t="str">
        <f>IFERROR(INDEX(PitRawData!$A$1:$AMK$3,3,MATCH(K26,PitRawData!$A$1:$AMK$1,0)),"NO DATA")</f>
        <v>NO DATA</v>
      </c>
      <c r="F26" s="10">
        <f t="shared" si="2"/>
        <v>0</v>
      </c>
      <c r="H26" s="6" t="s">
        <v>402</v>
      </c>
      <c r="I26" s="6" t="s">
        <v>383</v>
      </c>
      <c r="J26" s="6" t="s">
        <v>365</v>
      </c>
      <c r="K26" s="6" t="s">
        <v>346</v>
      </c>
    </row>
    <row r="27" spans="1:11" ht="15" customHeight="1" x14ac:dyDescent="0.25">
      <c r="A27" s="11" t="s">
        <v>708</v>
      </c>
      <c r="B27" s="12" t="str">
        <f>IFERROR(INDEX(PitRawData!$A$1:$AMK$3,3,MATCH(H27,PitRawData!$A$1:$AMK$1,0)),"NO DATA")</f>
        <v>NO DATA</v>
      </c>
      <c r="C27" s="12" t="str">
        <f>IFERROR(INDEX(PitRawData!$A$1:$AMK$3,3,MATCH(I27,PitRawData!$A$1:$AMK$1,0)),"NO DATA")</f>
        <v>NO DATA</v>
      </c>
      <c r="D27" s="12" t="str">
        <f>IFERROR(INDEX(PitRawData!$A$1:$AMK$3,3,MATCH(J27,PitRawData!$A$1:$AMK$1,0)),"NO DATA")</f>
        <v>NO DATA</v>
      </c>
      <c r="E27" s="12" t="str">
        <f>IFERROR(INDEX(PitRawData!$A$1:$AMK$3,3,MATCH(K27,PitRawData!$A$1:$AMK$1,0)),"NO DATA")</f>
        <v>NO DATA</v>
      </c>
      <c r="F27" s="10">
        <f t="shared" si="2"/>
        <v>0</v>
      </c>
      <c r="H27" s="6" t="s">
        <v>403</v>
      </c>
      <c r="I27" s="6" t="s">
        <v>384</v>
      </c>
      <c r="J27" s="6" t="s">
        <v>366</v>
      </c>
      <c r="K27" s="6" t="s">
        <v>347</v>
      </c>
    </row>
    <row r="28" spans="1:11" ht="15" customHeight="1" x14ac:dyDescent="0.25">
      <c r="A28" s="11" t="s">
        <v>709</v>
      </c>
      <c r="B28" s="12" t="str">
        <f>IFERROR(INDEX(PitRawData!$A$1:$AMK$3,3,MATCH(H28,PitRawData!$A$1:$AMK$1,0)),"NO DATA")</f>
        <v>NO DATA</v>
      </c>
      <c r="C28" s="12" t="str">
        <f>IFERROR(INDEX(PitRawData!$A$1:$AMK$3,3,MATCH(I28,PitRawData!$A$1:$AMK$1,0)),"NO DATA")</f>
        <v>NO DATA</v>
      </c>
      <c r="D28" s="12" t="str">
        <f>IFERROR(INDEX(PitRawData!$A$1:$AMK$3,3,MATCH(J28,PitRawData!$A$1:$AMK$1,0)),"NO DATA")</f>
        <v>NO DATA</v>
      </c>
      <c r="E28" s="12" t="str">
        <f>IFERROR(INDEX(PitRawData!$A$1:$AMK$3,3,MATCH(K28,PitRawData!$A$1:$AMK$1,0)),"NO DATA")</f>
        <v>NO DATA</v>
      </c>
      <c r="F28" s="10">
        <f t="shared" si="2"/>
        <v>0</v>
      </c>
      <c r="H28" s="6" t="s">
        <v>400</v>
      </c>
      <c r="I28" s="6" t="s">
        <v>381</v>
      </c>
      <c r="J28" s="6" t="s">
        <v>363</v>
      </c>
      <c r="K28" s="6" t="s">
        <v>344</v>
      </c>
    </row>
    <row r="29" spans="1:11" ht="15" customHeight="1" x14ac:dyDescent="0.25">
      <c r="A29" s="11" t="s">
        <v>710</v>
      </c>
      <c r="B29" s="12" t="str">
        <f>IFERROR(INDEX(PitRawData!$A$1:$AMK$3,3,MATCH(H29,PitRawData!$A$1:$AMK$1,0)),"NO DATA")</f>
        <v>NO DATA</v>
      </c>
      <c r="C29" s="12" t="str">
        <f>IFERROR(INDEX(PitRawData!$A$1:$AMK$3,3,MATCH(I29,PitRawData!$A$1:$AMK$1,0)),"NO DATA")</f>
        <v>NO DATA</v>
      </c>
      <c r="D29" s="12" t="str">
        <f>IFERROR(INDEX(PitRawData!$A$1:$AMK$3,3,MATCH(J29,PitRawData!$A$1:$AMK$1,0)),"NO DATA")</f>
        <v>NO DATA</v>
      </c>
      <c r="E29" s="12" t="str">
        <f>IFERROR(INDEX(PitRawData!$A$1:$AMK$3,3,MATCH(K29,PitRawData!$A$1:$AMK$1,0)),"NO DATA")</f>
        <v>NO DATA</v>
      </c>
      <c r="F29" s="10">
        <f t="shared" si="2"/>
        <v>0</v>
      </c>
      <c r="H29" s="6" t="s">
        <v>401</v>
      </c>
      <c r="I29" s="6" t="s">
        <v>382</v>
      </c>
      <c r="J29" s="6" t="s">
        <v>364</v>
      </c>
      <c r="K29" s="6" t="s">
        <v>345</v>
      </c>
    </row>
    <row r="30" spans="1:11" ht="15" customHeight="1" x14ac:dyDescent="0.25">
      <c r="A30" s="11" t="s">
        <v>711</v>
      </c>
      <c r="B30" s="12" t="str">
        <f>IFERROR(INDEX(PitRawData!$A$1:$AMK$3,3,MATCH(H30,PitRawData!$A$1:$AMK$1,0)),"NO DATA")</f>
        <v>NO DATA</v>
      </c>
      <c r="C30" s="12" t="str">
        <f>IFERROR(INDEX(PitRawData!$A$1:$AMK$3,3,MATCH(I30,PitRawData!$A$1:$AMK$1,0)),"NO DATA")</f>
        <v>NO DATA</v>
      </c>
      <c r="D30" s="12" t="str">
        <f>IFERROR(INDEX(PitRawData!$A$1:$AMK$3,3,MATCH(J30,PitRawData!$A$1:$AMK$1,0)),"NO DATA")</f>
        <v>NO DATA</v>
      </c>
      <c r="E30" s="12" t="str">
        <f>IFERROR(INDEX(PitRawData!$A$1:$AMK$3,3,MATCH(K30,PitRawData!$A$1:$AMK$1,0)),"NO DATA")</f>
        <v>NO DATA</v>
      </c>
      <c r="F30" s="10">
        <f t="shared" si="2"/>
        <v>0</v>
      </c>
      <c r="H30" s="6" t="s">
        <v>405</v>
      </c>
      <c r="I30" s="6" t="s">
        <v>386</v>
      </c>
      <c r="J30" s="6" t="s">
        <v>368</v>
      </c>
      <c r="K30" s="6" t="s">
        <v>349</v>
      </c>
    </row>
    <row r="31" spans="1:11" ht="15" customHeight="1" x14ac:dyDescent="0.25">
      <c r="A31" s="11" t="s">
        <v>712</v>
      </c>
      <c r="B31" s="12" t="str">
        <f>IFERROR(INDEX(PitRawData!$A$1:$AMK$3,3,MATCH(H31,PitRawData!$A$1:$AMK$1,0)),"NO DATA")</f>
        <v>NO DATA</v>
      </c>
      <c r="C31" s="12" t="str">
        <f>IFERROR(INDEX(PitRawData!$A$1:$AMK$3,3,MATCH(I31,PitRawData!$A$1:$AMK$1,0)),"NO DATA")</f>
        <v>NO DATA</v>
      </c>
      <c r="D31" s="12" t="str">
        <f>IFERROR(INDEX(PitRawData!$A$1:$AMK$3,3,MATCH(J31,PitRawData!$A$1:$AMK$1,0)),"NO DATA")</f>
        <v>NO DATA</v>
      </c>
      <c r="E31" s="12" t="str">
        <f>IFERROR(INDEX(PitRawData!$A$1:$AMK$3,3,MATCH(K31,PitRawData!$A$1:$AMK$1,0)),"NO DATA")</f>
        <v>NO DATA</v>
      </c>
      <c r="F31" s="10">
        <f t="shared" si="2"/>
        <v>0</v>
      </c>
      <c r="H31" s="6" t="s">
        <v>404</v>
      </c>
      <c r="I31" s="6" t="s">
        <v>385</v>
      </c>
      <c r="J31" s="6" t="s">
        <v>367</v>
      </c>
      <c r="K31" s="6" t="s">
        <v>348</v>
      </c>
    </row>
    <row r="32" spans="1:11" ht="18" customHeight="1" x14ac:dyDescent="0.25">
      <c r="B32" s="16"/>
      <c r="C32" s="16"/>
      <c r="D32" s="17"/>
      <c r="E32" s="16"/>
      <c r="F32" s="16"/>
    </row>
    <row r="33" spans="1:11" ht="21" customHeight="1" x14ac:dyDescent="0.25">
      <c r="B33" s="2" t="s">
        <v>4</v>
      </c>
      <c r="C33" s="2"/>
      <c r="D33" s="2"/>
      <c r="E33" s="3" t="s">
        <v>5</v>
      </c>
      <c r="F33" s="2" t="s">
        <v>2</v>
      </c>
    </row>
    <row r="34" spans="1:11" ht="18" customHeight="1" x14ac:dyDescent="0.25">
      <c r="A34" s="48" t="s">
        <v>15</v>
      </c>
      <c r="B34" s="4" t="s">
        <v>0</v>
      </c>
      <c r="C34" s="4" t="s">
        <v>1</v>
      </c>
      <c r="D34" s="4" t="s">
        <v>719</v>
      </c>
      <c r="E34" s="2"/>
      <c r="F34" s="2"/>
    </row>
    <row r="35" spans="1:11" ht="15" customHeight="1" x14ac:dyDescent="0.25">
      <c r="A35" s="7" t="s">
        <v>17</v>
      </c>
      <c r="B35" s="7" t="str">
        <f>IFERROR(INDEX(PitRawData!$A$1:$AMK$3,3,MATCH(H35,PitRawData!$A$1:$AMK$1,0)),"NO DATA")</f>
        <v>NO DATA</v>
      </c>
      <c r="C35" s="25" t="s">
        <v>697</v>
      </c>
      <c r="D35" s="7" t="str">
        <f>IFERROR(INDEX(PitRawData!$A$1:$AMK$3,3,MATCH(J35,PitRawData!$A$1:$AMK$1,0)),"NO DATA")</f>
        <v>NO DATA</v>
      </c>
      <c r="E35" s="7" t="str">
        <f>IFERROR(INDEX(PitRawData!$A$1:$AMK$3,3,MATCH(K35,PitRawData!$A$1:$AMK$1,0)),"NO DATA")</f>
        <v>NO DATA</v>
      </c>
      <c r="F35" s="10">
        <f>SUM(B35,D35,E35)</f>
        <v>0</v>
      </c>
      <c r="H35" s="6" t="s">
        <v>399</v>
      </c>
      <c r="J35" s="6" t="s">
        <v>362</v>
      </c>
      <c r="K35" s="6" t="s">
        <v>343</v>
      </c>
    </row>
    <row r="36" spans="1:11" ht="15" customHeight="1" x14ac:dyDescent="0.25"/>
    <row r="37" spans="1:11" hidden="1" x14ac:dyDescent="0.25">
      <c r="A37" s="20"/>
    </row>
    <row r="38" spans="1:11" hidden="1" x14ac:dyDescent="0.25">
      <c r="A38" s="20"/>
    </row>
  </sheetData>
  <sheetProtection algorithmName="SHA-512" hashValue="+nn2EDPxDeeVJZEmN42yrP0pI8gxyvbKkaYQWklaYy8M2ibJpMtjZaBAUrSYXbGqJewWIAkhYj9r1IkiUle4LA==" saltValue="fqo+qyTqgBAmz3WmDrR74Q==" spinCount="100000" sheet="1" objects="1" scenarios="1"/>
  <conditionalFormatting sqref="A3:F3">
    <cfRule type="expression" dxfId="11" priority="1">
      <formula>$A$3="PASTE DATA INTO THE 'PitRawData' TAB TO POPULATE THIS TEMPLATE."</formula>
    </cfRule>
  </conditionalFormatting>
  <pageMargins left="0.25" right="0.25" top="0.75" bottom="0.75" header="0.3" footer="0.3"/>
  <pageSetup orientation="landscape" r:id="rId1"/>
  <rowBreaks count="1" manualBreakCount="1">
    <brk id="13"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16E9-4F79-472F-9C9A-C826A675A905}">
  <sheetPr codeName="Sheet20"/>
  <dimension ref="A1:J43"/>
  <sheetViews>
    <sheetView zoomScaleNormal="100" workbookViewId="0"/>
  </sheetViews>
  <sheetFormatPr defaultColWidth="0" defaultRowHeight="15" zeroHeight="1" x14ac:dyDescent="0.25"/>
  <cols>
    <col min="1" max="1" width="62.7109375" style="6" customWidth="1"/>
    <col min="2" max="6" width="12.7109375" style="6" customWidth="1"/>
    <col min="7" max="9" width="39.7109375" style="6" hidden="1" customWidth="1"/>
    <col min="10" max="10" width="8.85546875" style="6" hidden="1" customWidth="1"/>
    <col min="11" max="16384" width="9.140625" style="6" hidden="1"/>
  </cols>
  <sheetData>
    <row r="1" spans="1:9" ht="21" customHeight="1" x14ac:dyDescent="0.25">
      <c r="A1" s="39" t="s">
        <v>726</v>
      </c>
      <c r="B1" s="46"/>
      <c r="C1" s="46"/>
      <c r="D1" s="46"/>
      <c r="E1" s="46"/>
      <c r="F1" s="46"/>
    </row>
    <row r="2" spans="1:9" ht="18" customHeight="1" x14ac:dyDescent="0.25">
      <c r="A2" s="45" t="str">
        <f>HeadingLine2</f>
        <v/>
      </c>
      <c r="B2" s="46"/>
      <c r="C2" s="46"/>
      <c r="D2" s="46"/>
      <c r="E2" s="46"/>
      <c r="F2" s="46"/>
    </row>
    <row r="3" spans="1:9" ht="18" customHeight="1" x14ac:dyDescent="0.25">
      <c r="A3" s="45" t="str">
        <f>HeadingLine3</f>
        <v>PASTE DATA INTO THE 'PitRawData' TAB TO POPULATE THIS TEMPLATE.</v>
      </c>
      <c r="B3" s="46"/>
      <c r="C3" s="46"/>
      <c r="D3" s="46"/>
      <c r="E3" s="46"/>
      <c r="F3" s="46"/>
    </row>
    <row r="4" spans="1:9" ht="18" customHeight="1" x14ac:dyDescent="0.25">
      <c r="A4" s="45" t="str">
        <f>HeadingLine4</f>
        <v/>
      </c>
      <c r="B4" s="46"/>
      <c r="C4" s="46"/>
      <c r="D4" s="46"/>
      <c r="E4" s="46"/>
      <c r="F4" s="46"/>
    </row>
    <row r="5" spans="1:9" ht="18" customHeight="1" x14ac:dyDescent="0.25">
      <c r="A5" s="39"/>
      <c r="B5" s="36"/>
      <c r="C5" s="37"/>
      <c r="D5" s="37"/>
      <c r="E5" s="37"/>
      <c r="F5" s="37"/>
    </row>
    <row r="6" spans="1:9" ht="18" customHeight="1" x14ac:dyDescent="0.3">
      <c r="A6" s="47" t="s">
        <v>683</v>
      </c>
      <c r="B6" s="37"/>
      <c r="C6" s="37"/>
      <c r="D6" s="37"/>
      <c r="E6" s="37"/>
      <c r="F6" s="37"/>
    </row>
    <row r="7" spans="1:9" ht="15" customHeight="1" x14ac:dyDescent="0.25">
      <c r="A7" s="1"/>
      <c r="B7" s="37"/>
      <c r="C7" s="37"/>
      <c r="D7" s="37"/>
      <c r="E7" s="37"/>
      <c r="F7" s="37"/>
    </row>
    <row r="8" spans="1:9" ht="21" customHeight="1" x14ac:dyDescent="0.25">
      <c r="B8" s="2" t="s">
        <v>4</v>
      </c>
      <c r="C8" s="2"/>
      <c r="D8" s="3" t="s">
        <v>5</v>
      </c>
      <c r="E8" s="2" t="s">
        <v>2</v>
      </c>
      <c r="F8" s="22"/>
    </row>
    <row r="9" spans="1:9" ht="18" customHeight="1" x14ac:dyDescent="0.25">
      <c r="A9" s="48" t="s">
        <v>3</v>
      </c>
      <c r="B9" s="4" t="s">
        <v>0</v>
      </c>
      <c r="C9" s="4" t="s">
        <v>1</v>
      </c>
      <c r="D9" s="2"/>
      <c r="E9" s="2"/>
      <c r="F9" s="38"/>
    </row>
    <row r="10" spans="1:9" ht="15" customHeight="1" x14ac:dyDescent="0.25">
      <c r="A10" s="7" t="s">
        <v>24</v>
      </c>
      <c r="B10" s="12" t="str">
        <f>IFERROR(INDEX(PitRawData!$A$1:$AMK$3,3,MATCH(G10,PitRawData!$A$1:$AMK$1,0)),"NO DATA")</f>
        <v>NO DATA</v>
      </c>
      <c r="C10" s="12" t="str">
        <f>IFERROR(INDEX(PitRawData!$A$1:$AMK$3,3,MATCH(H10,PitRawData!$A$1:$AMK$1,0)),"NO DATA")</f>
        <v>NO DATA</v>
      </c>
      <c r="D10" s="12" t="str">
        <f>IFERROR(INDEX(PitRawData!$A$1:$AMK$3,3,MATCH(I10,PitRawData!$A$1:$AMK$1,0)),"NO DATA")</f>
        <v>NO DATA</v>
      </c>
      <c r="E10" s="10">
        <f>SUM(B10:D10)</f>
        <v>0</v>
      </c>
      <c r="F10" s="38"/>
      <c r="G10" s="17" t="s">
        <v>341</v>
      </c>
      <c r="H10" s="17" t="s">
        <v>319</v>
      </c>
      <c r="I10" s="17" t="s">
        <v>299</v>
      </c>
    </row>
    <row r="11" spans="1:9" ht="15" customHeight="1" x14ac:dyDescent="0.25">
      <c r="A11" s="7" t="s">
        <v>23</v>
      </c>
      <c r="B11" s="10">
        <f>SUM(B14:B17)</f>
        <v>0</v>
      </c>
      <c r="C11" s="10">
        <f t="shared" ref="C11:D11" si="0">SUM(C14:C17)</f>
        <v>0</v>
      </c>
      <c r="D11" s="10">
        <f t="shared" si="0"/>
        <v>0</v>
      </c>
      <c r="E11" s="10">
        <f t="shared" ref="E11:E17" si="1">SUM(B11:D11)</f>
        <v>0</v>
      </c>
      <c r="F11" s="38"/>
    </row>
    <row r="12" spans="1:9" ht="15" customHeight="1" x14ac:dyDescent="0.25">
      <c r="A12" s="7" t="s">
        <v>25</v>
      </c>
      <c r="B12" s="10" t="e">
        <f>B14+B16</f>
        <v>#VALUE!</v>
      </c>
      <c r="C12" s="10" t="e">
        <f t="shared" ref="C12:D12" si="2">C14+C16</f>
        <v>#VALUE!</v>
      </c>
      <c r="D12" s="10" t="e">
        <f t="shared" si="2"/>
        <v>#VALUE!</v>
      </c>
      <c r="E12" s="10" t="e">
        <f t="shared" si="1"/>
        <v>#VALUE!</v>
      </c>
      <c r="F12" s="38"/>
    </row>
    <row r="13" spans="1:9" ht="15" customHeight="1" x14ac:dyDescent="0.25">
      <c r="A13" s="7" t="s">
        <v>26</v>
      </c>
      <c r="B13" s="10" t="e">
        <f>B15+B17</f>
        <v>#VALUE!</v>
      </c>
      <c r="C13" s="10" t="e">
        <f t="shared" ref="C13:D13" si="3">C15+C17</f>
        <v>#VALUE!</v>
      </c>
      <c r="D13" s="10" t="e">
        <f t="shared" si="3"/>
        <v>#VALUE!</v>
      </c>
      <c r="E13" s="10" t="e">
        <f t="shared" si="1"/>
        <v>#VALUE!</v>
      </c>
    </row>
    <row r="14" spans="1:9" ht="15" customHeight="1" x14ac:dyDescent="0.25">
      <c r="A14" s="11" t="s">
        <v>685</v>
      </c>
      <c r="B14" s="7" t="str">
        <f>IFERROR(INDEX(PitRawData!$A$1:$AMK$3,3,MATCH(G14,PitRawData!$A$1:$AMK$1,0)),"NO DATA")</f>
        <v>NO DATA</v>
      </c>
      <c r="C14" s="7" t="str">
        <f>IFERROR(INDEX(PitRawData!$A$1:$AMK$3,3,MATCH(H14,PitRawData!$A$1:$AMK$1,0)),"NO DATA")</f>
        <v>NO DATA</v>
      </c>
      <c r="D14" s="7" t="str">
        <f>IFERROR(INDEX(PitRawData!$A$1:$AMK$3,3,MATCH(I14,PitRawData!$A$1:$AMK$1,0)),"NO DATA")</f>
        <v>NO DATA</v>
      </c>
      <c r="E14" s="10">
        <f t="shared" si="1"/>
        <v>0</v>
      </c>
      <c r="G14" s="6" t="s">
        <v>340</v>
      </c>
      <c r="H14" s="6" t="s">
        <v>318</v>
      </c>
      <c r="I14" s="6" t="s">
        <v>298</v>
      </c>
    </row>
    <row r="15" spans="1:9" ht="29.25" customHeight="1" x14ac:dyDescent="0.25">
      <c r="A15" s="26" t="s">
        <v>721</v>
      </c>
      <c r="B15" s="7" t="str">
        <f>IFERROR(INDEX(PitRawData!$A$1:$AMK$3,3,MATCH(G15,PitRawData!$A$1:$AMK$1,0)),"NO DATA")</f>
        <v>NO DATA</v>
      </c>
      <c r="C15" s="7" t="str">
        <f>IFERROR(INDEX(PitRawData!$A$1:$AMK$3,3,MATCH(H15,PitRawData!$A$1:$AMK$1,0)),"NO DATA")</f>
        <v>NO DATA</v>
      </c>
      <c r="D15" s="7" t="str">
        <f>IFERROR(INDEX(PitRawData!$A$1:$AMK$3,3,MATCH(I15,PitRawData!$A$1:$AMK$1,0)),"NO DATA")</f>
        <v>NO DATA</v>
      </c>
      <c r="E15" s="10">
        <f t="shared" si="1"/>
        <v>0</v>
      </c>
      <c r="G15" s="6" t="s">
        <v>338</v>
      </c>
      <c r="H15" s="6" t="s">
        <v>316</v>
      </c>
      <c r="I15" s="6" t="s">
        <v>296</v>
      </c>
    </row>
    <row r="16" spans="1:9" ht="15" customHeight="1" x14ac:dyDescent="0.25">
      <c r="A16" s="11" t="s">
        <v>691</v>
      </c>
      <c r="B16" s="7" t="str">
        <f>IFERROR(INDEX(PitRawData!$A$1:$AMK$3,3,MATCH(G16,PitRawData!$A$1:$AMK$1,0)),"NO DATA")</f>
        <v>NO DATA</v>
      </c>
      <c r="C16" s="7" t="str">
        <f>IFERROR(INDEX(PitRawData!$A$1:$AMK$3,3,MATCH(H16,PitRawData!$A$1:$AMK$1,0)),"NO DATA")</f>
        <v>NO DATA</v>
      </c>
      <c r="D16" s="7" t="str">
        <f>IFERROR(INDEX(PitRawData!$A$1:$AMK$3,3,MATCH(I16,PitRawData!$A$1:$AMK$1,0)),"NO DATA")</f>
        <v>NO DATA</v>
      </c>
      <c r="E16" s="10">
        <f t="shared" si="1"/>
        <v>0</v>
      </c>
      <c r="G16" s="6" t="s">
        <v>339</v>
      </c>
      <c r="H16" s="6" t="s">
        <v>317</v>
      </c>
      <c r="I16" s="6" t="s">
        <v>297</v>
      </c>
    </row>
    <row r="17" spans="1:9" ht="30" customHeight="1" x14ac:dyDescent="0.25">
      <c r="A17" s="26" t="s">
        <v>722</v>
      </c>
      <c r="B17" s="7" t="str">
        <f>IFERROR(INDEX(PitRawData!$A$1:$AMK$3,3,MATCH(G17,PitRawData!$A$1:$AMK$1,0)),"NO DATA")</f>
        <v>NO DATA</v>
      </c>
      <c r="C17" s="7" t="str">
        <f>IFERROR(INDEX(PitRawData!$A$1:$AMK$3,3,MATCH(H17,PitRawData!$A$1:$AMK$1,0)),"NO DATA")</f>
        <v>NO DATA</v>
      </c>
      <c r="D17" s="7" t="str">
        <f>IFERROR(INDEX(PitRawData!$A$1:$AMK$3,3,MATCH(I17,PitRawData!$A$1:$AMK$1,0)),"NO DATA")</f>
        <v>NO DATA</v>
      </c>
      <c r="E17" s="10">
        <f t="shared" si="1"/>
        <v>0</v>
      </c>
      <c r="G17" s="6" t="s">
        <v>337</v>
      </c>
      <c r="H17" s="6" t="s">
        <v>315</v>
      </c>
      <c r="I17" s="6" t="s">
        <v>295</v>
      </c>
    </row>
    <row r="18" spans="1:9" ht="15" customHeight="1" x14ac:dyDescent="0.25">
      <c r="B18" s="16"/>
      <c r="C18" s="16"/>
      <c r="D18" s="16"/>
      <c r="E18" s="16"/>
      <c r="F18" s="38"/>
    </row>
    <row r="19" spans="1:9" ht="21" customHeight="1" x14ac:dyDescent="0.25">
      <c r="B19" s="2" t="s">
        <v>4</v>
      </c>
      <c r="C19" s="2"/>
      <c r="D19" s="3" t="s">
        <v>5</v>
      </c>
      <c r="E19" s="2" t="s">
        <v>2</v>
      </c>
      <c r="F19" s="38"/>
    </row>
    <row r="20" spans="1:9" ht="18" customHeight="1" x14ac:dyDescent="0.25">
      <c r="A20" s="48" t="s">
        <v>715</v>
      </c>
      <c r="B20" s="4" t="s">
        <v>0</v>
      </c>
      <c r="C20" s="4" t="s">
        <v>1</v>
      </c>
      <c r="D20" s="2"/>
      <c r="E20" s="2"/>
      <c r="F20" s="38"/>
    </row>
    <row r="21" spans="1:9" ht="15" customHeight="1" x14ac:dyDescent="0.25">
      <c r="A21" s="11" t="s">
        <v>698</v>
      </c>
      <c r="B21" s="7" t="str">
        <f>IFERROR(INDEX(PitRawData!$A$1:$AMK$3,3,MATCH(G21,PitRawData!$A$1:$AMK$1,0)),"NO DATA")</f>
        <v>NO DATA</v>
      </c>
      <c r="C21" s="7" t="str">
        <f>IFERROR(INDEX(PitRawData!$A$1:$AMK$3,3,MATCH(H21,PitRawData!$A$1:$AMK$1,0)),"NO DATA")</f>
        <v>NO DATA</v>
      </c>
      <c r="D21" s="7" t="str">
        <f>IFERROR(INDEX(PitRawData!$A$1:$AMK$3,3,MATCH(I21,PitRawData!$A$1:$AMK$1,0)),"NO DATA")</f>
        <v>NO DATA</v>
      </c>
      <c r="E21" s="10">
        <f>SUM(B21:D21)</f>
        <v>0</v>
      </c>
      <c r="G21" s="6" t="s">
        <v>334</v>
      </c>
      <c r="H21" s="6" t="s">
        <v>312</v>
      </c>
      <c r="I21" s="6" t="s">
        <v>292</v>
      </c>
    </row>
    <row r="22" spans="1:9" ht="15" customHeight="1" x14ac:dyDescent="0.25">
      <c r="A22" s="11" t="s">
        <v>699</v>
      </c>
      <c r="B22" s="7" t="str">
        <f>IFERROR(INDEX(PitRawData!$A$1:$AMK$3,3,MATCH(G22,PitRawData!$A$1:$AMK$1,0)),"NO DATA")</f>
        <v>NO DATA</v>
      </c>
      <c r="C22" s="7" t="str">
        <f>IFERROR(INDEX(PitRawData!$A$1:$AMK$3,3,MATCH(H22,PitRawData!$A$1:$AMK$1,0)),"NO DATA")</f>
        <v>NO DATA</v>
      </c>
      <c r="D22" s="7" t="str">
        <f>IFERROR(INDEX(PitRawData!$A$1:$AMK$3,3,MATCH(I22,PitRawData!$A$1:$AMK$1,0)),"NO DATA")</f>
        <v>NO DATA</v>
      </c>
      <c r="E22" s="10">
        <f t="shared" ref="E22:E35" si="4">SUM(B22:D22)</f>
        <v>0</v>
      </c>
      <c r="G22" s="6" t="s">
        <v>335</v>
      </c>
      <c r="H22" s="6" t="s">
        <v>313</v>
      </c>
      <c r="I22" s="6" t="s">
        <v>293</v>
      </c>
    </row>
    <row r="23" spans="1:9" ht="15" customHeight="1" x14ac:dyDescent="0.25">
      <c r="A23" s="11" t="s">
        <v>700</v>
      </c>
      <c r="B23" s="7" t="str">
        <f>IFERROR(INDEX(PitRawData!$A$1:$AMK$3,3,MATCH(G23,PitRawData!$A$1:$AMK$1,0)),"NO DATA")</f>
        <v>NO DATA</v>
      </c>
      <c r="C23" s="7" t="str">
        <f>IFERROR(INDEX(PitRawData!$A$1:$AMK$3,3,MATCH(H23,PitRawData!$A$1:$AMK$1,0)),"NO DATA")</f>
        <v>NO DATA</v>
      </c>
      <c r="D23" s="7" t="str">
        <f>IFERROR(INDEX(PitRawData!$A$1:$AMK$3,3,MATCH(I23,PitRawData!$A$1:$AMK$1,0)),"NO DATA")</f>
        <v>NO DATA</v>
      </c>
      <c r="E23" s="10">
        <f t="shared" si="4"/>
        <v>0</v>
      </c>
      <c r="G23" s="6" t="s">
        <v>332</v>
      </c>
      <c r="H23" s="6" t="s">
        <v>310</v>
      </c>
      <c r="I23" s="6" t="s">
        <v>290</v>
      </c>
    </row>
    <row r="24" spans="1:9" ht="15" customHeight="1" x14ac:dyDescent="0.25">
      <c r="A24" s="11" t="s">
        <v>701</v>
      </c>
      <c r="B24" s="7" t="str">
        <f>IFERROR(INDEX(PitRawData!$A$1:$AMK$3,3,MATCH(G24,PitRawData!$A$1:$AMK$1,0)),"NO DATA")</f>
        <v>NO DATA</v>
      </c>
      <c r="C24" s="7" t="str">
        <f>IFERROR(INDEX(PitRawData!$A$1:$AMK$3,3,MATCH(H24,PitRawData!$A$1:$AMK$1,0)),"NO DATA")</f>
        <v>NO DATA</v>
      </c>
      <c r="D24" s="7" t="str">
        <f>IFERROR(INDEX(PitRawData!$A$1:$AMK$3,3,MATCH(I24,PitRawData!$A$1:$AMK$1,0)),"NO DATA")</f>
        <v>NO DATA</v>
      </c>
      <c r="E24" s="10">
        <f t="shared" si="4"/>
        <v>0</v>
      </c>
      <c r="G24" s="6" t="s">
        <v>333</v>
      </c>
      <c r="H24" s="6" t="s">
        <v>311</v>
      </c>
      <c r="I24" s="6" t="s">
        <v>291</v>
      </c>
    </row>
    <row r="25" spans="1:9" ht="15" customHeight="1" x14ac:dyDescent="0.25">
      <c r="A25" s="11" t="s">
        <v>702</v>
      </c>
      <c r="B25" s="7" t="str">
        <f>IFERROR(INDEX(PitRawData!$A$1:$AMK$3,3,MATCH(G25,PitRawData!$A$1:$AMK$1,0)),"NO DATA")</f>
        <v>NO DATA</v>
      </c>
      <c r="C25" s="7" t="str">
        <f>IFERROR(INDEX(PitRawData!$A$1:$AMK$3,3,MATCH(H25,PitRawData!$A$1:$AMK$1,0)),"NO DATA")</f>
        <v>NO DATA</v>
      </c>
      <c r="D25" s="7" t="str">
        <f>IFERROR(INDEX(PitRawData!$A$1:$AMK$3,3,MATCH(I25,PitRawData!$A$1:$AMK$1,0)),"NO DATA")</f>
        <v>NO DATA</v>
      </c>
      <c r="E25" s="10">
        <f t="shared" si="4"/>
        <v>0</v>
      </c>
      <c r="G25" s="6" t="s">
        <v>330</v>
      </c>
      <c r="H25" s="6" t="s">
        <v>308</v>
      </c>
      <c r="I25" s="6" t="s">
        <v>288</v>
      </c>
    </row>
    <row r="26" spans="1:9" ht="15" customHeight="1" x14ac:dyDescent="0.25">
      <c r="A26" s="11" t="s">
        <v>703</v>
      </c>
      <c r="B26" s="7" t="str">
        <f>IFERROR(INDEX(PitRawData!$A$1:$AMK$3,3,MATCH(G26,PitRawData!$A$1:$AMK$1,0)),"NO DATA")</f>
        <v>NO DATA</v>
      </c>
      <c r="C26" s="7" t="str">
        <f>IFERROR(INDEX(PitRawData!$A$1:$AMK$3,3,MATCH(H26,PitRawData!$A$1:$AMK$1,0)),"NO DATA")</f>
        <v>NO DATA</v>
      </c>
      <c r="D26" s="7" t="str">
        <f>IFERROR(INDEX(PitRawData!$A$1:$AMK$3,3,MATCH(I26,PitRawData!$A$1:$AMK$1,0)),"NO DATA")</f>
        <v>NO DATA</v>
      </c>
      <c r="E26" s="10">
        <f t="shared" si="4"/>
        <v>0</v>
      </c>
      <c r="G26" s="6" t="s">
        <v>331</v>
      </c>
      <c r="H26" s="6" t="s">
        <v>309</v>
      </c>
      <c r="I26" s="6" t="s">
        <v>289</v>
      </c>
    </row>
    <row r="27" spans="1:9" ht="15" customHeight="1" x14ac:dyDescent="0.25">
      <c r="A27" s="11" t="s">
        <v>704</v>
      </c>
      <c r="B27" s="7" t="str">
        <f>IFERROR(INDEX(PitRawData!$A$1:$AMK$3,3,MATCH(G27,PitRawData!$A$1:$AMK$1,0)),"NO DATA")</f>
        <v>NO DATA</v>
      </c>
      <c r="C27" s="7" t="str">
        <f>IFERROR(INDEX(PitRawData!$A$1:$AMK$3,3,MATCH(H27,PitRawData!$A$1:$AMK$1,0)),"NO DATA")</f>
        <v>NO DATA</v>
      </c>
      <c r="D27" s="7" t="str">
        <f>IFERROR(INDEX(PitRawData!$A$1:$AMK$3,3,MATCH(I27,PitRawData!$A$1:$AMK$1,0)),"NO DATA")</f>
        <v>NO DATA</v>
      </c>
      <c r="E27" s="10">
        <f t="shared" si="4"/>
        <v>0</v>
      </c>
      <c r="G27" s="6" t="s">
        <v>336</v>
      </c>
      <c r="H27" s="6" t="s">
        <v>314</v>
      </c>
      <c r="I27" s="6" t="s">
        <v>294</v>
      </c>
    </row>
    <row r="28" spans="1:9" ht="15" customHeight="1" x14ac:dyDescent="0.25">
      <c r="A28" s="11" t="s">
        <v>705</v>
      </c>
      <c r="B28" s="7" t="str">
        <f>IFERROR(INDEX(PitRawData!$A$1:$AMK$3,3,MATCH(G28,PitRawData!$A$1:$AMK$1,0)),"NO DATA")</f>
        <v>NO DATA</v>
      </c>
      <c r="C28" s="7" t="str">
        <f>IFERROR(INDEX(PitRawData!$A$1:$AMK$3,3,MATCH(H28,PitRawData!$A$1:$AMK$1,0)),"NO DATA")</f>
        <v>NO DATA</v>
      </c>
      <c r="D28" s="7" t="str">
        <f>IFERROR(INDEX(PitRawData!$A$1:$AMK$3,3,MATCH(I28,PitRawData!$A$1:$AMK$1,0)),"NO DATA")</f>
        <v>NO DATA</v>
      </c>
      <c r="E28" s="10">
        <f t="shared" si="4"/>
        <v>0</v>
      </c>
      <c r="G28" s="6" t="s">
        <v>328</v>
      </c>
      <c r="H28" s="6" t="s">
        <v>306</v>
      </c>
      <c r="I28" s="6" t="s">
        <v>286</v>
      </c>
    </row>
    <row r="29" spans="1:9" ht="15" customHeight="1" x14ac:dyDescent="0.25">
      <c r="A29" s="11" t="s">
        <v>706</v>
      </c>
      <c r="B29" s="7" t="str">
        <f>IFERROR(INDEX(PitRawData!$A$1:$AMK$3,3,MATCH(G29,PitRawData!$A$1:$AMK$1,0)),"NO DATA")</f>
        <v>NO DATA</v>
      </c>
      <c r="C29" s="7" t="str">
        <f>IFERROR(INDEX(PitRawData!$A$1:$AMK$3,3,MATCH(H29,PitRawData!$A$1:$AMK$1,0)),"NO DATA")</f>
        <v>NO DATA</v>
      </c>
      <c r="D29" s="7" t="str">
        <f>IFERROR(INDEX(PitRawData!$A$1:$AMK$3,3,MATCH(I29,PitRawData!$A$1:$AMK$1,0)),"NO DATA")</f>
        <v>NO DATA</v>
      </c>
      <c r="E29" s="10">
        <f t="shared" si="4"/>
        <v>0</v>
      </c>
      <c r="G29" s="6" t="s">
        <v>329</v>
      </c>
      <c r="H29" s="6" t="s">
        <v>307</v>
      </c>
      <c r="I29" s="6" t="s">
        <v>287</v>
      </c>
    </row>
    <row r="30" spans="1:9" ht="15" customHeight="1" x14ac:dyDescent="0.25">
      <c r="A30" s="11" t="s">
        <v>707</v>
      </c>
      <c r="B30" s="7" t="str">
        <f>IFERROR(INDEX(PitRawData!$A$1:$AMK$3,3,MATCH(G30,PitRawData!$A$1:$AMK$1,0)),"NO DATA")</f>
        <v>NO DATA</v>
      </c>
      <c r="C30" s="7" t="str">
        <f>IFERROR(INDEX(PitRawData!$A$1:$AMK$3,3,MATCH(H30,PitRawData!$A$1:$AMK$1,0)),"NO DATA")</f>
        <v>NO DATA</v>
      </c>
      <c r="D30" s="7" t="str">
        <f>IFERROR(INDEX(PitRawData!$A$1:$AMK$3,3,MATCH(I30,PitRawData!$A$1:$AMK$1,0)),"NO DATA")</f>
        <v>NO DATA</v>
      </c>
      <c r="E30" s="10">
        <f t="shared" si="4"/>
        <v>0</v>
      </c>
      <c r="G30" s="6" t="s">
        <v>324</v>
      </c>
      <c r="H30" s="6" t="s">
        <v>302</v>
      </c>
      <c r="I30" s="6" t="s">
        <v>282</v>
      </c>
    </row>
    <row r="31" spans="1:9" ht="15" customHeight="1" x14ac:dyDescent="0.25">
      <c r="A31" s="11" t="s">
        <v>708</v>
      </c>
      <c r="B31" s="7" t="str">
        <f>IFERROR(INDEX(PitRawData!$A$1:$AMK$3,3,MATCH(G31,PitRawData!$A$1:$AMK$1,0)),"NO DATA")</f>
        <v>NO DATA</v>
      </c>
      <c r="C31" s="7" t="str">
        <f>IFERROR(INDEX(PitRawData!$A$1:$AMK$3,3,MATCH(H31,PitRawData!$A$1:$AMK$1,0)),"NO DATA")</f>
        <v>NO DATA</v>
      </c>
      <c r="D31" s="7" t="str">
        <f>IFERROR(INDEX(PitRawData!$A$1:$AMK$3,3,MATCH(I31,PitRawData!$A$1:$AMK$1,0)),"NO DATA")</f>
        <v>NO DATA</v>
      </c>
      <c r="E31" s="10">
        <f t="shared" si="4"/>
        <v>0</v>
      </c>
      <c r="G31" s="6" t="s">
        <v>325</v>
      </c>
      <c r="H31" s="6" t="s">
        <v>303</v>
      </c>
      <c r="I31" s="6" t="s">
        <v>283</v>
      </c>
    </row>
    <row r="32" spans="1:9" ht="15" customHeight="1" x14ac:dyDescent="0.25">
      <c r="A32" s="11" t="s">
        <v>709</v>
      </c>
      <c r="B32" s="7" t="str">
        <f>IFERROR(INDEX(PitRawData!$A$1:$AMK$3,3,MATCH(G32,PitRawData!$A$1:$AMK$1,0)),"NO DATA")</f>
        <v>NO DATA</v>
      </c>
      <c r="C32" s="7" t="str">
        <f>IFERROR(INDEX(PitRawData!$A$1:$AMK$3,3,MATCH(H32,PitRawData!$A$1:$AMK$1,0)),"NO DATA")</f>
        <v>NO DATA</v>
      </c>
      <c r="D32" s="7" t="str">
        <f>IFERROR(INDEX(PitRawData!$A$1:$AMK$3,3,MATCH(I32,PitRawData!$A$1:$AMK$1,0)),"NO DATA")</f>
        <v>NO DATA</v>
      </c>
      <c r="E32" s="10">
        <f t="shared" si="4"/>
        <v>0</v>
      </c>
      <c r="G32" s="6" t="s">
        <v>322</v>
      </c>
      <c r="H32" s="6" t="s">
        <v>300</v>
      </c>
      <c r="I32" s="6" t="s">
        <v>280</v>
      </c>
    </row>
    <row r="33" spans="1:9" ht="15" customHeight="1" x14ac:dyDescent="0.25">
      <c r="A33" s="11" t="s">
        <v>710</v>
      </c>
      <c r="B33" s="7" t="str">
        <f>IFERROR(INDEX(PitRawData!$A$1:$AMK$3,3,MATCH(G33,PitRawData!$A$1:$AMK$1,0)),"NO DATA")</f>
        <v>NO DATA</v>
      </c>
      <c r="C33" s="7" t="str">
        <f>IFERROR(INDEX(PitRawData!$A$1:$AMK$3,3,MATCH(H33,PitRawData!$A$1:$AMK$1,0)),"NO DATA")</f>
        <v>NO DATA</v>
      </c>
      <c r="D33" s="7" t="str">
        <f>IFERROR(INDEX(PitRawData!$A$1:$AMK$3,3,MATCH(I33,PitRawData!$A$1:$AMK$1,0)),"NO DATA")</f>
        <v>NO DATA</v>
      </c>
      <c r="E33" s="10">
        <f t="shared" si="4"/>
        <v>0</v>
      </c>
      <c r="G33" s="6" t="s">
        <v>323</v>
      </c>
      <c r="H33" s="6" t="s">
        <v>301</v>
      </c>
      <c r="I33" s="6" t="s">
        <v>281</v>
      </c>
    </row>
    <row r="34" spans="1:9" ht="15" customHeight="1" x14ac:dyDescent="0.25">
      <c r="A34" s="11" t="s">
        <v>711</v>
      </c>
      <c r="B34" s="7" t="str">
        <f>IFERROR(INDEX(PitRawData!$A$1:$AMK$3,3,MATCH(G34,PitRawData!$A$1:$AMK$1,0)),"NO DATA")</f>
        <v>NO DATA</v>
      </c>
      <c r="C34" s="7" t="str">
        <f>IFERROR(INDEX(PitRawData!$A$1:$AMK$3,3,MATCH(H34,PitRawData!$A$1:$AMK$1,0)),"NO DATA")</f>
        <v>NO DATA</v>
      </c>
      <c r="D34" s="7" t="str">
        <f>IFERROR(INDEX(PitRawData!$A$1:$AMK$3,3,MATCH(I34,PitRawData!$A$1:$AMK$1,0)),"NO DATA")</f>
        <v>NO DATA</v>
      </c>
      <c r="E34" s="10">
        <f t="shared" si="4"/>
        <v>0</v>
      </c>
      <c r="G34" s="6" t="s">
        <v>327</v>
      </c>
      <c r="H34" s="6" t="s">
        <v>305</v>
      </c>
      <c r="I34" s="6" t="s">
        <v>285</v>
      </c>
    </row>
    <row r="35" spans="1:9" ht="15" customHeight="1" x14ac:dyDescent="0.25">
      <c r="A35" s="11" t="s">
        <v>712</v>
      </c>
      <c r="B35" s="7" t="str">
        <f>IFERROR(INDEX(PitRawData!$A$1:$AMK$3,3,MATCH(G35,PitRawData!$A$1:$AMK$1,0)),"NO DATA")</f>
        <v>NO DATA</v>
      </c>
      <c r="C35" s="7" t="str">
        <f>IFERROR(INDEX(PitRawData!$A$1:$AMK$3,3,MATCH(H35,PitRawData!$A$1:$AMK$1,0)),"NO DATA")</f>
        <v>NO DATA</v>
      </c>
      <c r="D35" s="7" t="str">
        <f>IFERROR(INDEX(PitRawData!$A$1:$AMK$3,3,MATCH(I35,PitRawData!$A$1:$AMK$1,0)),"NO DATA")</f>
        <v>NO DATA</v>
      </c>
      <c r="E35" s="10">
        <f t="shared" si="4"/>
        <v>0</v>
      </c>
      <c r="G35" s="6" t="s">
        <v>326</v>
      </c>
      <c r="H35" s="6" t="s">
        <v>304</v>
      </c>
      <c r="I35" s="6" t="s">
        <v>284</v>
      </c>
    </row>
    <row r="36" spans="1:9" ht="15" customHeight="1" x14ac:dyDescent="0.25"/>
    <row r="37" spans="1:9" ht="21" customHeight="1" x14ac:dyDescent="0.25">
      <c r="B37" s="2" t="s">
        <v>4</v>
      </c>
      <c r="C37" s="2"/>
      <c r="D37" s="3" t="s">
        <v>5</v>
      </c>
      <c r="E37" s="2" t="s">
        <v>2</v>
      </c>
    </row>
    <row r="38" spans="1:9" ht="18" customHeight="1" x14ac:dyDescent="0.25">
      <c r="A38" s="48" t="s">
        <v>15</v>
      </c>
      <c r="B38" s="4" t="s">
        <v>0</v>
      </c>
      <c r="C38" s="4" t="s">
        <v>1</v>
      </c>
      <c r="D38" s="2"/>
      <c r="E38" s="2"/>
    </row>
    <row r="39" spans="1:9" ht="15" customHeight="1" x14ac:dyDescent="0.25">
      <c r="A39" s="7" t="s">
        <v>16</v>
      </c>
      <c r="B39" s="7" t="str">
        <f>IFERROR(INDEX(PitRawData!$A$1:$AMK$3,3,MATCH(G39,PitRawData!$A$1:$AMK$1,0)),"NO DATA")</f>
        <v>NO DATA</v>
      </c>
      <c r="C39" s="25" t="s">
        <v>697</v>
      </c>
      <c r="D39" s="7" t="str">
        <f>IFERROR(INDEX(PitRawData!$A$1:$AMK$3,3,MATCH(I39,PitRawData!$A$1:$AMK$1,0)),"NO DATA")</f>
        <v>NO DATA</v>
      </c>
      <c r="E39" s="10" t="e">
        <f>B39+D39</f>
        <v>#VALUE!</v>
      </c>
      <c r="G39" s="6" t="s">
        <v>321</v>
      </c>
      <c r="I39" s="6" t="s">
        <v>279</v>
      </c>
    </row>
    <row r="40" spans="1:9" ht="15" customHeight="1" x14ac:dyDescent="0.25">
      <c r="A40" s="7" t="s">
        <v>17</v>
      </c>
      <c r="B40" s="7" t="str">
        <f>IFERROR(INDEX(PitRawData!$A$1:$AMK$3,3,MATCH(G40,PitRawData!$A$1:$AMK$1,0)),"NO DATA")</f>
        <v>NO DATA</v>
      </c>
      <c r="C40" s="25" t="s">
        <v>697</v>
      </c>
      <c r="D40" s="7" t="str">
        <f>IFERROR(INDEX(PitRawData!$A$1:$AMK$3,3,MATCH(I40,PitRawData!$A$1:$AMK$1,0)),"NO DATA")</f>
        <v>NO DATA</v>
      </c>
      <c r="E40" s="10" t="e">
        <f>B40+D40</f>
        <v>#VALUE!</v>
      </c>
      <c r="G40" s="6" t="s">
        <v>320</v>
      </c>
      <c r="I40" s="6" t="s">
        <v>278</v>
      </c>
    </row>
    <row r="41" spans="1:9" ht="15" customHeight="1" x14ac:dyDescent="0.25">
      <c r="F41" s="38"/>
    </row>
    <row r="42" spans="1:9" hidden="1" x14ac:dyDescent="0.25">
      <c r="A42" s="20"/>
    </row>
    <row r="43" spans="1:9" hidden="1" x14ac:dyDescent="0.25">
      <c r="A43" s="20"/>
    </row>
  </sheetData>
  <sheetProtection algorithmName="SHA-512" hashValue="VhGu14oOd1Xo59UU0gP3JxZyQ9Ta7EV8WJ08y9ZvWKS58zdoS810S/s7Ies8+qTaJvybj/lIiSjTvGmAM+z/Yg==" saltValue="TLKNExsHux4+h3Okc0dOjA==" spinCount="100000" sheet="1" objects="1" scenarios="1"/>
  <conditionalFormatting sqref="A3:F3">
    <cfRule type="expression" dxfId="10" priority="1">
      <formula>$A$3="PASTE DATA INTO THE 'PitRawData' TAB TO POPULATE THIS TEMPLATE."</formula>
    </cfRule>
  </conditionalFormatting>
  <pageMargins left="0.25" right="0.25" top="0.75" bottom="0.75" header="0.3" footer="0.3"/>
  <pageSetup orientation="landscape" r:id="rId1"/>
  <rowBreaks count="1" manualBreakCount="1">
    <brk id="17"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BED3-FD93-416F-A4A3-4D813EB8C003}">
  <sheetPr codeName="Sheet16"/>
  <dimension ref="A1:J38"/>
  <sheetViews>
    <sheetView zoomScaleNormal="100" workbookViewId="0"/>
  </sheetViews>
  <sheetFormatPr defaultColWidth="0" defaultRowHeight="15" zeroHeight="1" x14ac:dyDescent="0.25"/>
  <cols>
    <col min="1" max="1" width="62.7109375" style="6" customWidth="1"/>
    <col min="2" max="6" width="12.7109375" style="6" customWidth="1"/>
    <col min="7" max="10" width="39.7109375" style="6" hidden="1" customWidth="1"/>
    <col min="11" max="16384" width="9.140625" style="6" hidden="1"/>
  </cols>
  <sheetData>
    <row r="1" spans="1:9" ht="21" customHeight="1" x14ac:dyDescent="0.25">
      <c r="A1" s="39" t="s">
        <v>726</v>
      </c>
      <c r="B1" s="46"/>
      <c r="C1" s="46"/>
      <c r="D1" s="46"/>
      <c r="E1" s="46"/>
      <c r="F1" s="46"/>
    </row>
    <row r="2" spans="1:9" ht="18" customHeight="1" x14ac:dyDescent="0.25">
      <c r="A2" s="45" t="str">
        <f>HeadingLine2</f>
        <v/>
      </c>
      <c r="B2" s="46"/>
      <c r="C2" s="46"/>
      <c r="D2" s="46"/>
      <c r="E2" s="46"/>
      <c r="F2" s="46"/>
    </row>
    <row r="3" spans="1:9" ht="18" customHeight="1" x14ac:dyDescent="0.25">
      <c r="A3" s="45" t="str">
        <f>HeadingLine3</f>
        <v>PASTE DATA INTO THE 'PitRawData' TAB TO POPULATE THIS TEMPLATE.</v>
      </c>
      <c r="B3" s="46"/>
      <c r="C3" s="46"/>
      <c r="D3" s="46"/>
      <c r="E3" s="46"/>
      <c r="F3" s="46"/>
    </row>
    <row r="4" spans="1:9" ht="18" customHeight="1" x14ac:dyDescent="0.25">
      <c r="A4" s="45" t="str">
        <f>HeadingLine4</f>
        <v/>
      </c>
      <c r="B4" s="46"/>
      <c r="C4" s="46"/>
      <c r="D4" s="46"/>
      <c r="E4" s="46"/>
      <c r="F4" s="46"/>
    </row>
    <row r="5" spans="1:9" ht="18" customHeight="1" x14ac:dyDescent="0.25">
      <c r="A5" s="39"/>
      <c r="B5" s="36"/>
      <c r="C5" s="37"/>
      <c r="D5" s="37"/>
      <c r="E5" s="37"/>
      <c r="F5" s="37"/>
    </row>
    <row r="6" spans="1:9" ht="18" customHeight="1" x14ac:dyDescent="0.3">
      <c r="A6" s="47" t="s">
        <v>681</v>
      </c>
      <c r="B6" s="37"/>
      <c r="C6" s="37"/>
      <c r="D6" s="37"/>
      <c r="E6" s="37"/>
      <c r="F6" s="37"/>
    </row>
    <row r="7" spans="1:9" ht="15" customHeight="1" x14ac:dyDescent="0.25">
      <c r="A7" s="40"/>
      <c r="B7" s="37"/>
      <c r="C7" s="37"/>
      <c r="D7" s="37"/>
      <c r="E7" s="37"/>
      <c r="F7" s="37"/>
    </row>
    <row r="8" spans="1:9" ht="21" customHeight="1" x14ac:dyDescent="0.25">
      <c r="B8" s="2" t="s">
        <v>4</v>
      </c>
      <c r="C8" s="2"/>
      <c r="D8" s="3" t="s">
        <v>5</v>
      </c>
      <c r="E8" s="2" t="s">
        <v>2</v>
      </c>
      <c r="F8" s="22"/>
    </row>
    <row r="9" spans="1:9" ht="18" customHeight="1" x14ac:dyDescent="0.25">
      <c r="A9" s="49" t="s">
        <v>3</v>
      </c>
      <c r="B9" s="4" t="s">
        <v>0</v>
      </c>
      <c r="C9" s="4" t="s">
        <v>1</v>
      </c>
      <c r="D9" s="2"/>
      <c r="E9" s="2"/>
      <c r="F9" s="38"/>
    </row>
    <row r="10" spans="1:9" ht="15" customHeight="1" x14ac:dyDescent="0.25">
      <c r="A10" s="7" t="s">
        <v>6</v>
      </c>
      <c r="B10" s="12" t="str">
        <f>IFERROR(INDEX(PitRawData!$A$1:$AMK$3,3,MATCH(G10,PitRawData!$A$1:$AMK$1,0)),"NO DATA")</f>
        <v>NO DATA</v>
      </c>
      <c r="C10" s="12" t="str">
        <f>IFERROR(INDEX(PitRawData!$A$1:$AMK$3,3,MATCH(H10,PitRawData!$A$1:$AMK$1,0)),"NO DATA")</f>
        <v>NO DATA</v>
      </c>
      <c r="D10" s="12" t="str">
        <f>IFERROR(INDEX(PitRawData!$A$1:$AMK$3,3,MATCH(I10,PitRawData!$A$1:$AMK$1,0)),"NO DATA")</f>
        <v>NO DATA</v>
      </c>
      <c r="E10" s="9">
        <f>SUM(B10:D10)</f>
        <v>0</v>
      </c>
      <c r="F10" s="38"/>
      <c r="G10" s="17" t="s">
        <v>276</v>
      </c>
      <c r="H10" s="17" t="s">
        <v>256</v>
      </c>
      <c r="I10" s="17" t="s">
        <v>238</v>
      </c>
    </row>
    <row r="11" spans="1:9" ht="15" customHeight="1" x14ac:dyDescent="0.25">
      <c r="A11" s="7" t="s">
        <v>18</v>
      </c>
      <c r="B11" s="12" t="str">
        <f>IFERROR(INDEX(PitRawData!$A$1:$AMK$3,3,MATCH(G11,PitRawData!$A$1:$AMK$1,0)),"NO DATA")</f>
        <v>NO DATA</v>
      </c>
      <c r="C11" s="12" t="str">
        <f>IFERROR(INDEX(PitRawData!$A$1:$AMK$3,3,MATCH(H11,PitRawData!$A$1:$AMK$1,0)),"NO DATA")</f>
        <v>NO DATA</v>
      </c>
      <c r="D11" s="12" t="str">
        <f>IFERROR(INDEX(PitRawData!$A$1:$AMK$3,3,MATCH(I11,PitRawData!$A$1:$AMK$1,0)),"NO DATA")</f>
        <v>NO DATA</v>
      </c>
      <c r="E11" s="9">
        <f t="shared" ref="E11:E12" si="0">SUM(B11:D11)</f>
        <v>0</v>
      </c>
      <c r="F11" s="38"/>
      <c r="G11" s="17" t="s">
        <v>275</v>
      </c>
      <c r="H11" s="17" t="s">
        <v>255</v>
      </c>
      <c r="I11" s="17" t="s">
        <v>237</v>
      </c>
    </row>
    <row r="12" spans="1:9" ht="15" customHeight="1" x14ac:dyDescent="0.25">
      <c r="A12" s="7" t="s">
        <v>20</v>
      </c>
      <c r="B12" s="12" t="str">
        <f>IFERROR(INDEX(PitRawData!$A$1:$AMK$3,3,MATCH(G12,PitRawData!$A$1:$AMK$1,0)),"NO DATA")</f>
        <v>NO DATA</v>
      </c>
      <c r="C12" s="12" t="str">
        <f>IFERROR(INDEX(PitRawData!$A$1:$AMK$3,3,MATCH(H12,PitRawData!$A$1:$AMK$1,0)),"NO DATA")</f>
        <v>NO DATA</v>
      </c>
      <c r="D12" s="12" t="str">
        <f>IFERROR(INDEX(PitRawData!$A$1:$AMK$3,3,MATCH(I12,PitRawData!$A$1:$AMK$1,0)),"NO DATA")</f>
        <v>NO DATA</v>
      </c>
      <c r="E12" s="9">
        <f t="shared" si="0"/>
        <v>0</v>
      </c>
      <c r="F12" s="38"/>
      <c r="G12" s="17" t="s">
        <v>274</v>
      </c>
      <c r="H12" s="17" t="s">
        <v>254</v>
      </c>
      <c r="I12" s="17" t="s">
        <v>236</v>
      </c>
    </row>
    <row r="13" spans="1:9" ht="15" customHeight="1" x14ac:dyDescent="0.25"/>
    <row r="14" spans="1:9" ht="21" customHeight="1" x14ac:dyDescent="0.25">
      <c r="B14" s="2" t="s">
        <v>4</v>
      </c>
      <c r="C14" s="2"/>
      <c r="D14" s="3" t="s">
        <v>5</v>
      </c>
      <c r="E14" s="2" t="s">
        <v>2</v>
      </c>
      <c r="F14" s="38"/>
    </row>
    <row r="15" spans="1:9" ht="18" customHeight="1" x14ac:dyDescent="0.25">
      <c r="A15" s="48" t="s">
        <v>716</v>
      </c>
      <c r="B15" s="4" t="s">
        <v>0</v>
      </c>
      <c r="C15" s="4" t="s">
        <v>1</v>
      </c>
      <c r="D15" s="2"/>
      <c r="E15" s="2"/>
      <c r="F15" s="38"/>
    </row>
    <row r="16" spans="1:9" ht="15" customHeight="1" x14ac:dyDescent="0.25">
      <c r="A16" s="7" t="s">
        <v>698</v>
      </c>
      <c r="B16" s="8" t="str">
        <f>IFERROR(INDEX(PitRawData!$A$1:$AMK$3,3,MATCH(G16,PitRawData!$A$1:$AMK$1,0)),"NO DATA")</f>
        <v>NO DATA</v>
      </c>
      <c r="C16" s="8" t="str">
        <f>IFERROR(INDEX(PitRawData!$A$1:$AMK$3,3,MATCH(H16,PitRawData!$A$1:$AMK$1,0)),"NO DATA")</f>
        <v>NO DATA</v>
      </c>
      <c r="D16" s="7" t="str">
        <f>IFERROR(INDEX(PitRawData!$A$1:$AMK$3,3,MATCH(I16,PitRawData!$A$1:$AMK$1,0)),"NO DATA")</f>
        <v>NO DATA</v>
      </c>
      <c r="E16" s="10">
        <f>SUM(B16:D16)</f>
        <v>0</v>
      </c>
      <c r="G16" s="6" t="s">
        <v>271</v>
      </c>
      <c r="H16" s="6" t="s">
        <v>251</v>
      </c>
      <c r="I16" s="6" t="s">
        <v>233</v>
      </c>
    </row>
    <row r="17" spans="1:9" ht="15" customHeight="1" x14ac:dyDescent="0.25">
      <c r="A17" s="7" t="s">
        <v>699</v>
      </c>
      <c r="B17" s="8" t="str">
        <f>IFERROR(INDEX(PitRawData!$A$1:$AMK$3,3,MATCH(G17,PitRawData!$A$1:$AMK$1,0)),"NO DATA")</f>
        <v>NO DATA</v>
      </c>
      <c r="C17" s="8" t="str">
        <f>IFERROR(INDEX(PitRawData!$A$1:$AMK$3,3,MATCH(H17,PitRawData!$A$1:$AMK$1,0)),"NO DATA")</f>
        <v>NO DATA</v>
      </c>
      <c r="D17" s="7" t="str">
        <f>IFERROR(INDEX(PitRawData!$A$1:$AMK$3,3,MATCH(I17,PitRawData!$A$1:$AMK$1,0)),"NO DATA")</f>
        <v>NO DATA</v>
      </c>
      <c r="E17" s="10">
        <f t="shared" ref="E17:E30" si="1">SUM(B17:D17)</f>
        <v>0</v>
      </c>
      <c r="G17" s="6" t="s">
        <v>272</v>
      </c>
      <c r="H17" s="6" t="s">
        <v>252</v>
      </c>
      <c r="I17" s="6" t="s">
        <v>234</v>
      </c>
    </row>
    <row r="18" spans="1:9" ht="15" customHeight="1" x14ac:dyDescent="0.25">
      <c r="A18" s="7" t="s">
        <v>700</v>
      </c>
      <c r="B18" s="8" t="str">
        <f>IFERROR(INDEX(PitRawData!$A$1:$AMK$3,3,MATCH(G18,PitRawData!$A$1:$AMK$1,0)),"NO DATA")</f>
        <v>NO DATA</v>
      </c>
      <c r="C18" s="8" t="str">
        <f>IFERROR(INDEX(PitRawData!$A$1:$AMK$3,3,MATCH(H18,PitRawData!$A$1:$AMK$1,0)),"NO DATA")</f>
        <v>NO DATA</v>
      </c>
      <c r="D18" s="7" t="str">
        <f>IFERROR(INDEX(PitRawData!$A$1:$AMK$3,3,MATCH(I18,PitRawData!$A$1:$AMK$1,0)),"NO DATA")</f>
        <v>NO DATA</v>
      </c>
      <c r="E18" s="10">
        <f t="shared" si="1"/>
        <v>0</v>
      </c>
      <c r="G18" s="6" t="s">
        <v>269</v>
      </c>
      <c r="H18" s="6" t="s">
        <v>249</v>
      </c>
      <c r="I18" s="6" t="s">
        <v>231</v>
      </c>
    </row>
    <row r="19" spans="1:9" ht="15" customHeight="1" x14ac:dyDescent="0.25">
      <c r="A19" s="7" t="s">
        <v>701</v>
      </c>
      <c r="B19" s="8" t="str">
        <f>IFERROR(INDEX(PitRawData!$A$1:$AMK$3,3,MATCH(G19,PitRawData!$A$1:$AMK$1,0)),"NO DATA")</f>
        <v>NO DATA</v>
      </c>
      <c r="C19" s="8" t="str">
        <f>IFERROR(INDEX(PitRawData!$A$1:$AMK$3,3,MATCH(H19,PitRawData!$A$1:$AMK$1,0)),"NO DATA")</f>
        <v>NO DATA</v>
      </c>
      <c r="D19" s="7" t="str">
        <f>IFERROR(INDEX(PitRawData!$A$1:$AMK$3,3,MATCH(I19,PitRawData!$A$1:$AMK$1,0)),"NO DATA")</f>
        <v>NO DATA</v>
      </c>
      <c r="E19" s="10">
        <f t="shared" si="1"/>
        <v>0</v>
      </c>
      <c r="G19" s="6" t="s">
        <v>270</v>
      </c>
      <c r="H19" s="6" t="s">
        <v>250</v>
      </c>
      <c r="I19" s="6" t="s">
        <v>232</v>
      </c>
    </row>
    <row r="20" spans="1:9" ht="15" customHeight="1" x14ac:dyDescent="0.25">
      <c r="A20" s="7" t="s">
        <v>702</v>
      </c>
      <c r="B20" s="8" t="str">
        <f>IFERROR(INDEX(PitRawData!$A$1:$AMK$3,3,MATCH(G20,PitRawData!$A$1:$AMK$1,0)),"NO DATA")</f>
        <v>NO DATA</v>
      </c>
      <c r="C20" s="8" t="str">
        <f>IFERROR(INDEX(PitRawData!$A$1:$AMK$3,3,MATCH(H20,PitRawData!$A$1:$AMK$1,0)),"NO DATA")</f>
        <v>NO DATA</v>
      </c>
      <c r="D20" s="7" t="str">
        <f>IFERROR(INDEX(PitRawData!$A$1:$AMK$3,3,MATCH(I20,PitRawData!$A$1:$AMK$1,0)),"NO DATA")</f>
        <v>NO DATA</v>
      </c>
      <c r="E20" s="10">
        <f t="shared" si="1"/>
        <v>0</v>
      </c>
      <c r="G20" s="6" t="s">
        <v>267</v>
      </c>
      <c r="H20" s="6" t="s">
        <v>247</v>
      </c>
      <c r="I20" s="6" t="s">
        <v>229</v>
      </c>
    </row>
    <row r="21" spans="1:9" ht="15" customHeight="1" x14ac:dyDescent="0.25">
      <c r="A21" s="7" t="s">
        <v>703</v>
      </c>
      <c r="B21" s="8" t="str">
        <f>IFERROR(INDEX(PitRawData!$A$1:$AMK$3,3,MATCH(G21,PitRawData!$A$1:$AMK$1,0)),"NO DATA")</f>
        <v>NO DATA</v>
      </c>
      <c r="C21" s="8" t="str">
        <f>IFERROR(INDEX(PitRawData!$A$1:$AMK$3,3,MATCH(H21,PitRawData!$A$1:$AMK$1,0)),"NO DATA")</f>
        <v>NO DATA</v>
      </c>
      <c r="D21" s="7" t="str">
        <f>IFERROR(INDEX(PitRawData!$A$1:$AMK$3,3,MATCH(I21,PitRawData!$A$1:$AMK$1,0)),"NO DATA")</f>
        <v>NO DATA</v>
      </c>
      <c r="E21" s="10">
        <f t="shared" si="1"/>
        <v>0</v>
      </c>
      <c r="G21" s="6" t="s">
        <v>268</v>
      </c>
      <c r="H21" s="6" t="s">
        <v>248</v>
      </c>
      <c r="I21" s="6" t="s">
        <v>230</v>
      </c>
    </row>
    <row r="22" spans="1:9" ht="15" customHeight="1" x14ac:dyDescent="0.25">
      <c r="A22" s="7" t="s">
        <v>704</v>
      </c>
      <c r="B22" s="8" t="str">
        <f>IFERROR(INDEX(PitRawData!$A$1:$AMK$3,3,MATCH(G22,PitRawData!$A$1:$AMK$1,0)),"NO DATA")</f>
        <v>NO DATA</v>
      </c>
      <c r="C22" s="8" t="str">
        <f>IFERROR(INDEX(PitRawData!$A$1:$AMK$3,3,MATCH(H22,PitRawData!$A$1:$AMK$1,0)),"NO DATA")</f>
        <v>NO DATA</v>
      </c>
      <c r="D22" s="7" t="str">
        <f>IFERROR(INDEX(PitRawData!$A$1:$AMK$3,3,MATCH(I22,PitRawData!$A$1:$AMK$1,0)),"NO DATA")</f>
        <v>NO DATA</v>
      </c>
      <c r="E22" s="10">
        <f t="shared" si="1"/>
        <v>0</v>
      </c>
      <c r="G22" s="6" t="s">
        <v>273</v>
      </c>
      <c r="H22" s="6" t="s">
        <v>253</v>
      </c>
      <c r="I22" s="6" t="s">
        <v>235</v>
      </c>
    </row>
    <row r="23" spans="1:9" ht="15" customHeight="1" x14ac:dyDescent="0.25">
      <c r="A23" s="7" t="s">
        <v>705</v>
      </c>
      <c r="B23" s="8" t="str">
        <f>IFERROR(INDEX(PitRawData!$A$1:$AMK$3,3,MATCH(G23,PitRawData!$A$1:$AMK$1,0)),"NO DATA")</f>
        <v>NO DATA</v>
      </c>
      <c r="C23" s="8" t="str">
        <f>IFERROR(INDEX(PitRawData!$A$1:$AMK$3,3,MATCH(H23,PitRawData!$A$1:$AMK$1,0)),"NO DATA")</f>
        <v>NO DATA</v>
      </c>
      <c r="D23" s="7" t="str">
        <f>IFERROR(INDEX(PitRawData!$A$1:$AMK$3,3,MATCH(I23,PitRawData!$A$1:$AMK$1,0)),"NO DATA")</f>
        <v>NO DATA</v>
      </c>
      <c r="E23" s="10">
        <f t="shared" si="1"/>
        <v>0</v>
      </c>
      <c r="G23" s="6" t="s">
        <v>265</v>
      </c>
      <c r="H23" s="6" t="s">
        <v>245</v>
      </c>
      <c r="I23" s="6" t="s">
        <v>227</v>
      </c>
    </row>
    <row r="24" spans="1:9" ht="15" customHeight="1" x14ac:dyDescent="0.25">
      <c r="A24" s="7" t="s">
        <v>706</v>
      </c>
      <c r="B24" s="8" t="str">
        <f>IFERROR(INDEX(PitRawData!$A$1:$AMK$3,3,MATCH(G24,PitRawData!$A$1:$AMK$1,0)),"NO DATA")</f>
        <v>NO DATA</v>
      </c>
      <c r="C24" s="8" t="str">
        <f>IFERROR(INDEX(PitRawData!$A$1:$AMK$3,3,MATCH(H24,PitRawData!$A$1:$AMK$1,0)),"NO DATA")</f>
        <v>NO DATA</v>
      </c>
      <c r="D24" s="7" t="str">
        <f>IFERROR(INDEX(PitRawData!$A$1:$AMK$3,3,MATCH(I24,PitRawData!$A$1:$AMK$1,0)),"NO DATA")</f>
        <v>NO DATA</v>
      </c>
      <c r="E24" s="10">
        <f t="shared" si="1"/>
        <v>0</v>
      </c>
      <c r="G24" s="6" t="s">
        <v>266</v>
      </c>
      <c r="H24" s="6" t="s">
        <v>246</v>
      </c>
      <c r="I24" s="6" t="s">
        <v>228</v>
      </c>
    </row>
    <row r="25" spans="1:9" ht="15" customHeight="1" x14ac:dyDescent="0.25">
      <c r="A25" s="7" t="s">
        <v>707</v>
      </c>
      <c r="B25" s="8" t="str">
        <f>IFERROR(INDEX(PitRawData!$A$1:$AMK$3,3,MATCH(G25,PitRawData!$A$1:$AMK$1,0)),"NO DATA")</f>
        <v>NO DATA</v>
      </c>
      <c r="C25" s="8" t="str">
        <f>IFERROR(INDEX(PitRawData!$A$1:$AMK$3,3,MATCH(H25,PitRawData!$A$1:$AMK$1,0)),"NO DATA")</f>
        <v>NO DATA</v>
      </c>
      <c r="D25" s="7" t="str">
        <f>IFERROR(INDEX(PitRawData!$A$1:$AMK$3,3,MATCH(I25,PitRawData!$A$1:$AMK$1,0)),"NO DATA")</f>
        <v>NO DATA</v>
      </c>
      <c r="E25" s="10">
        <f t="shared" si="1"/>
        <v>0</v>
      </c>
      <c r="G25" s="6" t="s">
        <v>261</v>
      </c>
      <c r="H25" s="6" t="s">
        <v>241</v>
      </c>
      <c r="I25" s="6" t="s">
        <v>223</v>
      </c>
    </row>
    <row r="26" spans="1:9" ht="15" customHeight="1" x14ac:dyDescent="0.25">
      <c r="A26" s="7" t="s">
        <v>708</v>
      </c>
      <c r="B26" s="8" t="str">
        <f>IFERROR(INDEX(PitRawData!$A$1:$AMK$3,3,MATCH(G26,PitRawData!$A$1:$AMK$1,0)),"NO DATA")</f>
        <v>NO DATA</v>
      </c>
      <c r="C26" s="8" t="str">
        <f>IFERROR(INDEX(PitRawData!$A$1:$AMK$3,3,MATCH(H26,PitRawData!$A$1:$AMK$1,0)),"NO DATA")</f>
        <v>NO DATA</v>
      </c>
      <c r="D26" s="7" t="str">
        <f>IFERROR(INDEX(PitRawData!$A$1:$AMK$3,3,MATCH(I26,PitRawData!$A$1:$AMK$1,0)),"NO DATA")</f>
        <v>NO DATA</v>
      </c>
      <c r="E26" s="10">
        <f t="shared" si="1"/>
        <v>0</v>
      </c>
      <c r="G26" s="6" t="s">
        <v>262</v>
      </c>
      <c r="H26" s="6" t="s">
        <v>242</v>
      </c>
      <c r="I26" s="6" t="s">
        <v>224</v>
      </c>
    </row>
    <row r="27" spans="1:9" ht="15" customHeight="1" x14ac:dyDescent="0.25">
      <c r="A27" s="7" t="s">
        <v>709</v>
      </c>
      <c r="B27" s="7" t="str">
        <f>IFERROR(INDEX(PitRawData!$A$1:$AMK$3,3,MATCH(G27,PitRawData!$A$1:$AMK$1,0)),"NO DATA")</f>
        <v>NO DATA</v>
      </c>
      <c r="C27" s="7" t="str">
        <f>IFERROR(INDEX(PitRawData!$A$1:$AMK$3,3,MATCH(H27,PitRawData!$A$1:$AMK$1,0)),"NO DATA")</f>
        <v>NO DATA</v>
      </c>
      <c r="D27" s="7" t="str">
        <f>IFERROR(INDEX(PitRawData!$A$1:$AMK$3,3,MATCH(I27,PitRawData!$A$1:$AMK$1,0)),"NO DATA")</f>
        <v>NO DATA</v>
      </c>
      <c r="E27" s="10">
        <f t="shared" si="1"/>
        <v>0</v>
      </c>
      <c r="G27" s="6" t="s">
        <v>259</v>
      </c>
      <c r="H27" s="6" t="s">
        <v>239</v>
      </c>
      <c r="I27" s="6" t="s">
        <v>221</v>
      </c>
    </row>
    <row r="28" spans="1:9" ht="15" customHeight="1" x14ac:dyDescent="0.25">
      <c r="A28" s="7" t="s">
        <v>710</v>
      </c>
      <c r="B28" s="7" t="str">
        <f>IFERROR(INDEX(PitRawData!$A$1:$AMK$3,3,MATCH(G28,PitRawData!$A$1:$AMK$1,0)),"NO DATA")</f>
        <v>NO DATA</v>
      </c>
      <c r="C28" s="7" t="str">
        <f>IFERROR(INDEX(PitRawData!$A$1:$AMK$3,3,MATCH(H28,PitRawData!$A$1:$AMK$1,0)),"NO DATA")</f>
        <v>NO DATA</v>
      </c>
      <c r="D28" s="7" t="str">
        <f>IFERROR(INDEX(PitRawData!$A$1:$AMK$3,3,MATCH(I28,PitRawData!$A$1:$AMK$1,0)),"NO DATA")</f>
        <v>NO DATA</v>
      </c>
      <c r="E28" s="10">
        <f t="shared" si="1"/>
        <v>0</v>
      </c>
      <c r="G28" s="6" t="s">
        <v>260</v>
      </c>
      <c r="H28" s="6" t="s">
        <v>240</v>
      </c>
      <c r="I28" s="6" t="s">
        <v>222</v>
      </c>
    </row>
    <row r="29" spans="1:9" ht="15" customHeight="1" x14ac:dyDescent="0.25">
      <c r="A29" s="7" t="s">
        <v>711</v>
      </c>
      <c r="B29" s="7" t="str">
        <f>IFERROR(INDEX(PitRawData!$A$1:$AMK$3,3,MATCH(G29,PitRawData!$A$1:$AMK$1,0)),"NO DATA")</f>
        <v>NO DATA</v>
      </c>
      <c r="C29" s="7" t="str">
        <f>IFERROR(INDEX(PitRawData!$A$1:$AMK$3,3,MATCH(H29,PitRawData!$A$1:$AMK$1,0)),"NO DATA")</f>
        <v>NO DATA</v>
      </c>
      <c r="D29" s="7" t="str">
        <f>IFERROR(INDEX(PitRawData!$A$1:$AMK$3,3,MATCH(I29,PitRawData!$A$1:$AMK$1,0)),"NO DATA")</f>
        <v>NO DATA</v>
      </c>
      <c r="E29" s="10">
        <f t="shared" si="1"/>
        <v>0</v>
      </c>
      <c r="G29" s="6" t="s">
        <v>264</v>
      </c>
      <c r="H29" s="6" t="s">
        <v>244</v>
      </c>
      <c r="I29" s="6" t="s">
        <v>226</v>
      </c>
    </row>
    <row r="30" spans="1:9" ht="15" customHeight="1" x14ac:dyDescent="0.25">
      <c r="A30" s="7" t="s">
        <v>712</v>
      </c>
      <c r="B30" s="7" t="str">
        <f>IFERROR(INDEX(PitRawData!$A$1:$AMK$3,3,MATCH(G30,PitRawData!$A$1:$AMK$1,0)),"NO DATA")</f>
        <v>NO DATA</v>
      </c>
      <c r="C30" s="7" t="str">
        <f>IFERROR(INDEX(PitRawData!$A$1:$AMK$3,3,MATCH(H30,PitRawData!$A$1:$AMK$1,0)),"NO DATA")</f>
        <v>NO DATA</v>
      </c>
      <c r="D30" s="7" t="str">
        <f>IFERROR(INDEX(PitRawData!$A$1:$AMK$3,3,MATCH(I30,PitRawData!$A$1:$AMK$1,0)),"NO DATA")</f>
        <v>NO DATA</v>
      </c>
      <c r="E30" s="10">
        <f t="shared" si="1"/>
        <v>0</v>
      </c>
      <c r="G30" s="6" t="s">
        <v>263</v>
      </c>
      <c r="H30" s="6" t="s">
        <v>243</v>
      </c>
      <c r="I30" s="6" t="s">
        <v>225</v>
      </c>
    </row>
    <row r="31" spans="1:9" ht="18" customHeight="1" x14ac:dyDescent="0.25">
      <c r="B31" s="16"/>
      <c r="C31" s="16"/>
      <c r="D31" s="16"/>
      <c r="E31" s="16"/>
    </row>
    <row r="32" spans="1:9" ht="21" customHeight="1" x14ac:dyDescent="0.25">
      <c r="B32" s="2" t="s">
        <v>4</v>
      </c>
      <c r="C32" s="2"/>
      <c r="D32" s="3" t="s">
        <v>5</v>
      </c>
      <c r="E32" s="2" t="s">
        <v>2</v>
      </c>
    </row>
    <row r="33" spans="1:9" ht="18" customHeight="1" x14ac:dyDescent="0.25">
      <c r="A33" s="48" t="s">
        <v>15</v>
      </c>
      <c r="B33" s="4" t="s">
        <v>0</v>
      </c>
      <c r="C33" s="4" t="s">
        <v>1</v>
      </c>
      <c r="D33" s="2"/>
      <c r="E33" s="2"/>
    </row>
    <row r="34" spans="1:9" ht="15" customHeight="1" x14ac:dyDescent="0.25">
      <c r="A34" s="7" t="s">
        <v>16</v>
      </c>
      <c r="B34" s="7" t="str">
        <f>IFERROR(INDEX(PitRawData!$A$1:$AMK$3,3,MATCH(G34,PitRawData!$A$1:$AMK$1,0)),"NO DATA")</f>
        <v>NO DATA</v>
      </c>
      <c r="C34" s="25" t="s">
        <v>697</v>
      </c>
      <c r="D34" s="7" t="str">
        <f>IFERROR(INDEX(PitRawData!$A$1:$AMK$3,3,MATCH(I34,PitRawData!$A$1:$AMK$1,0)),"NO DATA")</f>
        <v>NO DATA</v>
      </c>
      <c r="E34" s="10" t="e">
        <f>B34+D34</f>
        <v>#VALUE!</v>
      </c>
      <c r="G34" s="6" t="s">
        <v>258</v>
      </c>
      <c r="I34" s="6" t="s">
        <v>220</v>
      </c>
    </row>
    <row r="35" spans="1:9" ht="15" customHeight="1" x14ac:dyDescent="0.25">
      <c r="A35" s="7" t="s">
        <v>17</v>
      </c>
      <c r="B35" s="7" t="str">
        <f>IFERROR(INDEX(PitRawData!$A$1:$AMK$3,3,MATCH(G35,PitRawData!$A$1:$AMK$1,0)),"NO DATA")</f>
        <v>NO DATA</v>
      </c>
      <c r="C35" s="25" t="s">
        <v>697</v>
      </c>
      <c r="D35" s="7" t="str">
        <f>IFERROR(INDEX(PitRawData!$A$1:$AMK$3,3,MATCH(I35,PitRawData!$A$1:$AMK$1,0)),"NO DATA")</f>
        <v>NO DATA</v>
      </c>
      <c r="E35" s="10" t="e">
        <f>B35+D35</f>
        <v>#VALUE!</v>
      </c>
      <c r="G35" s="6" t="s">
        <v>257</v>
      </c>
      <c r="I35" s="6" t="s">
        <v>219</v>
      </c>
    </row>
    <row r="36" spans="1:9" ht="15" customHeight="1" x14ac:dyDescent="0.25">
      <c r="F36" s="38"/>
    </row>
    <row r="37" spans="1:9" hidden="1" x14ac:dyDescent="0.25">
      <c r="A37" s="20"/>
    </row>
    <row r="38" spans="1:9" hidden="1" x14ac:dyDescent="0.25">
      <c r="A38" s="20"/>
    </row>
  </sheetData>
  <sheetProtection algorithmName="SHA-512" hashValue="R7C9MNSfYRAZ6q1Vn1Th4rFlZxedpbzo708znj8Co0NcL0vwj5TQ7vGoHB4qPQ4tJJGT2CkRmZ00JSfLAAvDBA==" saltValue="v4Rr8rt+fHb2qEdl/rmg1w==" spinCount="100000" sheet="1" objects="1" scenarios="1"/>
  <conditionalFormatting sqref="A3:F3">
    <cfRule type="expression" dxfId="9" priority="1">
      <formula>$A$3="PASTE DATA INTO THE 'PitRawData' TAB TO POPULATE THIS TEMPLATE."</formula>
    </cfRule>
  </conditionalFormatting>
  <pageMargins left="0.25" right="0.25" top="0.75" bottom="0.75" header="0.3" footer="0.3"/>
  <pageSetup orientation="landscape" r:id="rId1"/>
  <rowBreaks count="1" manualBreakCount="1">
    <brk id="12"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66B0-0066-405F-9491-C7AAE462C5D5}">
  <sheetPr codeName="Sheet15"/>
  <dimension ref="A1:K37"/>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6384" width="9.140625" style="6" hidden="1"/>
  </cols>
  <sheetData>
    <row r="1" spans="1:11" ht="21" customHeight="1" x14ac:dyDescent="0.25">
      <c r="A1" s="39" t="s">
        <v>726</v>
      </c>
      <c r="B1" s="46"/>
      <c r="C1" s="46"/>
      <c r="D1" s="46"/>
      <c r="E1" s="46"/>
      <c r="F1" s="46"/>
      <c r="G1" s="37"/>
    </row>
    <row r="2" spans="1:11" ht="18" customHeight="1" x14ac:dyDescent="0.25">
      <c r="A2" s="45" t="str">
        <f>HeadingLine2</f>
        <v/>
      </c>
      <c r="B2" s="46"/>
      <c r="C2" s="46"/>
      <c r="D2" s="46"/>
      <c r="E2" s="46"/>
      <c r="F2" s="46"/>
      <c r="G2" s="37"/>
    </row>
    <row r="3" spans="1:11" ht="18" customHeight="1" x14ac:dyDescent="0.25">
      <c r="A3" s="45" t="str">
        <f>HeadingLine3</f>
        <v>PASTE DATA INTO THE 'PitRawData' TAB TO POPULATE THIS TEMPLATE.</v>
      </c>
      <c r="B3" s="46"/>
      <c r="C3" s="46"/>
      <c r="D3" s="46"/>
      <c r="E3" s="46"/>
      <c r="F3" s="46"/>
      <c r="G3" s="37"/>
    </row>
    <row r="4" spans="1:11" ht="18" customHeight="1" x14ac:dyDescent="0.25">
      <c r="A4" s="45" t="str">
        <f>HeadingLine4</f>
        <v/>
      </c>
      <c r="B4" s="46"/>
      <c r="C4" s="46"/>
      <c r="D4" s="46"/>
      <c r="E4" s="46"/>
      <c r="F4" s="46"/>
      <c r="G4" s="37"/>
    </row>
    <row r="5" spans="1:11" ht="18" customHeight="1" x14ac:dyDescent="0.25">
      <c r="A5" s="39"/>
      <c r="B5" s="36"/>
      <c r="C5" s="37"/>
      <c r="D5" s="37"/>
      <c r="E5" s="37"/>
      <c r="F5" s="37"/>
      <c r="G5" s="37"/>
    </row>
    <row r="6" spans="1:11" ht="18" customHeight="1" x14ac:dyDescent="0.3">
      <c r="A6" s="47" t="s">
        <v>723</v>
      </c>
      <c r="B6" s="37"/>
      <c r="C6" s="37"/>
      <c r="D6" s="37"/>
      <c r="E6" s="37"/>
      <c r="F6" s="37"/>
      <c r="G6" s="37"/>
    </row>
    <row r="7" spans="1:11" ht="15" customHeight="1" x14ac:dyDescent="0.25">
      <c r="A7" s="40"/>
      <c r="B7" s="37"/>
      <c r="C7" s="37"/>
      <c r="D7" s="37"/>
      <c r="E7" s="37"/>
      <c r="F7" s="37"/>
      <c r="G7" s="37"/>
    </row>
    <row r="8" spans="1:11" ht="21" customHeight="1" x14ac:dyDescent="0.25">
      <c r="B8" s="2" t="s">
        <v>4</v>
      </c>
      <c r="C8" s="2"/>
      <c r="D8" s="2"/>
      <c r="E8" s="3" t="s">
        <v>5</v>
      </c>
      <c r="F8" s="2" t="s">
        <v>2</v>
      </c>
      <c r="G8" s="22"/>
    </row>
    <row r="9" spans="1:11" ht="18" customHeight="1" x14ac:dyDescent="0.25">
      <c r="A9" s="48" t="s">
        <v>3</v>
      </c>
      <c r="B9" s="4" t="s">
        <v>0</v>
      </c>
      <c r="C9" s="4" t="s">
        <v>1</v>
      </c>
      <c r="D9" s="4" t="s">
        <v>719</v>
      </c>
      <c r="E9" s="2"/>
      <c r="F9" s="2"/>
      <c r="G9" s="38"/>
    </row>
    <row r="10" spans="1:11" ht="15" customHeight="1" x14ac:dyDescent="0.25">
      <c r="A10" s="7" t="s">
        <v>6</v>
      </c>
      <c r="B10" s="12" t="str">
        <f>IFERROR(INDEX(PitRawData!$A$1:$AMK$3,3,MATCH(H10,PitRawData!$A$1:$AMK$1,0)),"NO DATA")</f>
        <v>NO DATA</v>
      </c>
      <c r="C10" s="12" t="str">
        <f>IFERROR(INDEX(PitRawData!$A$1:$AMK$3,3,MATCH(I10,PitRawData!$A$1:$AMK$1,0)),"NO DATA")</f>
        <v>NO DATA</v>
      </c>
      <c r="D10" s="12" t="str">
        <f>IFERROR(INDEX(PitRawData!$A$1:$AMK$3,3,MATCH(J10,PitRawData!$A$1:$AMK$1,0)),"NO DATA")</f>
        <v>NO DATA</v>
      </c>
      <c r="E10" s="12" t="str">
        <f>IFERROR(INDEX(PitRawData!$A$1:$AMK$3,3,MATCH(K10,PitRawData!$A$1:$AMK$1,0)),"NO DATA")</f>
        <v>NO DATA</v>
      </c>
      <c r="F10" s="9">
        <f>SUM(B10:E10)</f>
        <v>0</v>
      </c>
      <c r="G10" s="38"/>
      <c r="H10" s="17" t="s">
        <v>217</v>
      </c>
      <c r="I10" s="17" t="s">
        <v>198</v>
      </c>
      <c r="J10" s="6" t="s">
        <v>180</v>
      </c>
      <c r="K10" s="17" t="s">
        <v>161</v>
      </c>
    </row>
    <row r="11" spans="1:11" ht="15" customHeight="1" x14ac:dyDescent="0.25">
      <c r="A11" s="7" t="s">
        <v>18</v>
      </c>
      <c r="B11" s="12" t="str">
        <f>IFERROR(INDEX(PitRawData!$A$1:$AMK$3,3,MATCH(H11,PitRawData!$A$1:$AMK$1,0)),"NO DATA")</f>
        <v>NO DATA</v>
      </c>
      <c r="C11" s="12" t="str">
        <f>IFERROR(INDEX(PitRawData!$A$1:$AMK$3,3,MATCH(I11,PitRawData!$A$1:$AMK$1,0)),"NO DATA")</f>
        <v>NO DATA</v>
      </c>
      <c r="D11" s="12" t="str">
        <f>IFERROR(INDEX(PitRawData!$A$1:$AMK$3,3,MATCH(J11,PitRawData!$A$1:$AMK$1,0)),"NO DATA")</f>
        <v>NO DATA</v>
      </c>
      <c r="E11" s="12" t="str">
        <f>IFERROR(INDEX(PitRawData!$A$1:$AMK$3,3,MATCH(K11,PitRawData!$A$1:$AMK$1,0)),"NO DATA")</f>
        <v>NO DATA</v>
      </c>
      <c r="F11" s="9">
        <f t="shared" ref="F11:F12" si="0">SUM(B11:E11)</f>
        <v>0</v>
      </c>
      <c r="G11" s="38"/>
      <c r="H11" s="17" t="s">
        <v>216</v>
      </c>
      <c r="I11" s="17" t="s">
        <v>197</v>
      </c>
      <c r="J11" s="6" t="s">
        <v>179</v>
      </c>
      <c r="K11" s="17" t="s">
        <v>160</v>
      </c>
    </row>
    <row r="12" spans="1:11" ht="15" customHeight="1" x14ac:dyDescent="0.25">
      <c r="A12" s="7" t="s">
        <v>20</v>
      </c>
      <c r="B12" s="12" t="str">
        <f>IFERROR(INDEX(PitRawData!$A$1:$AMK$3,3,MATCH(H12,PitRawData!$A$1:$AMK$1,0)),"NO DATA")</f>
        <v>NO DATA</v>
      </c>
      <c r="C12" s="12" t="str">
        <f>IFERROR(INDEX(PitRawData!$A$1:$AMK$3,3,MATCH(I12,PitRawData!$A$1:$AMK$1,0)),"NO DATA")</f>
        <v>NO DATA</v>
      </c>
      <c r="D12" s="12" t="str">
        <f>IFERROR(INDEX(PitRawData!$A$1:$AMK$3,3,MATCH(J12,PitRawData!$A$1:$AMK$1,0)),"NO DATA")</f>
        <v>NO DATA</v>
      </c>
      <c r="E12" s="12" t="str">
        <f>IFERROR(INDEX(PitRawData!$A$1:$AMK$3,3,MATCH(K12,PitRawData!$A$1:$AMK$1,0)),"NO DATA")</f>
        <v>NO DATA</v>
      </c>
      <c r="F12" s="9">
        <f t="shared" si="0"/>
        <v>0</v>
      </c>
      <c r="G12" s="38"/>
      <c r="H12" s="17" t="s">
        <v>215</v>
      </c>
      <c r="I12" s="17" t="s">
        <v>196</v>
      </c>
      <c r="J12" s="6" t="s">
        <v>178</v>
      </c>
      <c r="K12" s="17" t="s">
        <v>159</v>
      </c>
    </row>
    <row r="13" spans="1:11" ht="15" customHeight="1" x14ac:dyDescent="0.25"/>
    <row r="14" spans="1:11" ht="21" customHeight="1" x14ac:dyDescent="0.25">
      <c r="B14" s="2" t="s">
        <v>4</v>
      </c>
      <c r="C14" s="2"/>
      <c r="D14" s="2"/>
      <c r="E14" s="3" t="s">
        <v>5</v>
      </c>
      <c r="F14" s="2" t="s">
        <v>2</v>
      </c>
      <c r="G14" s="38"/>
    </row>
    <row r="15" spans="1:11" ht="18" customHeight="1" x14ac:dyDescent="0.25">
      <c r="A15" s="48" t="s">
        <v>717</v>
      </c>
      <c r="B15" s="4" t="s">
        <v>0</v>
      </c>
      <c r="C15" s="4" t="s">
        <v>1</v>
      </c>
      <c r="D15" s="4" t="s">
        <v>719</v>
      </c>
      <c r="E15" s="2"/>
      <c r="F15" s="2"/>
      <c r="G15" s="38"/>
    </row>
    <row r="16" spans="1:11" ht="15" customHeight="1" x14ac:dyDescent="0.25">
      <c r="A16" s="7" t="s">
        <v>698</v>
      </c>
      <c r="B16" s="7" t="str">
        <f>IFERROR(INDEX(PitRawData!$A$1:$AMK$3,3,MATCH(H16,PitRawData!$A$1:$AMK$1,0)),"NO DATA")</f>
        <v>NO DATA</v>
      </c>
      <c r="C16" s="7" t="str">
        <f>IFERROR(INDEX(PitRawData!$A$1:$AMK$3,3,MATCH(I16,PitRawData!$A$1:$AMK$1,0)),"NO DATA")</f>
        <v>NO DATA</v>
      </c>
      <c r="D16" s="7" t="str">
        <f>IFERROR(INDEX(PitRawData!$A$1:$AMK$3,3,MATCH(J16,PitRawData!$A$1:$AMK$1,0)),"NO DATA")</f>
        <v>NO DATA</v>
      </c>
      <c r="E16" s="7" t="str">
        <f>IFERROR(INDEX(PitRawData!$A$1:$AMK$3,3,MATCH(K16,PitRawData!$A$1:$AMK$1,0)),"NO DATA")</f>
        <v>NO DATA</v>
      </c>
      <c r="F16" s="10">
        <f>SUM(B16:E16)</f>
        <v>0</v>
      </c>
      <c r="H16" s="6" t="s">
        <v>212</v>
      </c>
      <c r="I16" s="6" t="s">
        <v>193</v>
      </c>
      <c r="J16" s="6" t="s">
        <v>175</v>
      </c>
      <c r="K16" s="6" t="s">
        <v>156</v>
      </c>
    </row>
    <row r="17" spans="1:11" ht="15" customHeight="1" x14ac:dyDescent="0.25">
      <c r="A17" s="7" t="s">
        <v>699</v>
      </c>
      <c r="B17" s="7" t="str">
        <f>IFERROR(INDEX(PitRawData!$A$1:$AMK$3,3,MATCH(H17,PitRawData!$A$1:$AMK$1,0)),"NO DATA")</f>
        <v>NO DATA</v>
      </c>
      <c r="C17" s="7" t="str">
        <f>IFERROR(INDEX(PitRawData!$A$1:$AMK$3,3,MATCH(I17,PitRawData!$A$1:$AMK$1,0)),"NO DATA")</f>
        <v>NO DATA</v>
      </c>
      <c r="D17" s="7" t="str">
        <f>IFERROR(INDEX(PitRawData!$A$1:$AMK$3,3,MATCH(J17,PitRawData!$A$1:$AMK$1,0)),"NO DATA")</f>
        <v>NO DATA</v>
      </c>
      <c r="E17" s="7" t="str">
        <f>IFERROR(INDEX(PitRawData!$A$1:$AMK$3,3,MATCH(K17,PitRawData!$A$1:$AMK$1,0)),"NO DATA")</f>
        <v>NO DATA</v>
      </c>
      <c r="F17" s="10">
        <f t="shared" ref="F17:F30" si="1">SUM(B17:E17)</f>
        <v>0</v>
      </c>
      <c r="H17" s="6" t="s">
        <v>213</v>
      </c>
      <c r="I17" s="6" t="s">
        <v>194</v>
      </c>
      <c r="J17" s="6" t="s">
        <v>176</v>
      </c>
      <c r="K17" s="6" t="s">
        <v>157</v>
      </c>
    </row>
    <row r="18" spans="1:11" ht="15" customHeight="1" x14ac:dyDescent="0.25">
      <c r="A18" s="7" t="s">
        <v>700</v>
      </c>
      <c r="B18" s="7" t="str">
        <f>IFERROR(INDEX(PitRawData!$A$1:$AMK$3,3,MATCH(H18,PitRawData!$A$1:$AMK$1,0)),"NO DATA")</f>
        <v>NO DATA</v>
      </c>
      <c r="C18" s="7" t="str">
        <f>IFERROR(INDEX(PitRawData!$A$1:$AMK$3,3,MATCH(I18,PitRawData!$A$1:$AMK$1,0)),"NO DATA")</f>
        <v>NO DATA</v>
      </c>
      <c r="D18" s="7" t="str">
        <f>IFERROR(INDEX(PitRawData!$A$1:$AMK$3,3,MATCH(J18,PitRawData!$A$1:$AMK$1,0)),"NO DATA")</f>
        <v>NO DATA</v>
      </c>
      <c r="E18" s="7" t="str">
        <f>IFERROR(INDEX(PitRawData!$A$1:$AMK$3,3,MATCH(K18,PitRawData!$A$1:$AMK$1,0)),"NO DATA")</f>
        <v>NO DATA</v>
      </c>
      <c r="F18" s="10">
        <f t="shared" si="1"/>
        <v>0</v>
      </c>
      <c r="H18" s="6" t="s">
        <v>210</v>
      </c>
      <c r="I18" s="6" t="s">
        <v>191</v>
      </c>
      <c r="J18" s="6" t="s">
        <v>173</v>
      </c>
      <c r="K18" s="6" t="s">
        <v>154</v>
      </c>
    </row>
    <row r="19" spans="1:11" ht="15" customHeight="1" x14ac:dyDescent="0.25">
      <c r="A19" s="7" t="s">
        <v>701</v>
      </c>
      <c r="B19" s="7" t="str">
        <f>IFERROR(INDEX(PitRawData!$A$1:$AMK$3,3,MATCH(H19,PitRawData!$A$1:$AMK$1,0)),"NO DATA")</f>
        <v>NO DATA</v>
      </c>
      <c r="C19" s="7" t="str">
        <f>IFERROR(INDEX(PitRawData!$A$1:$AMK$3,3,MATCH(I19,PitRawData!$A$1:$AMK$1,0)),"NO DATA")</f>
        <v>NO DATA</v>
      </c>
      <c r="D19" s="7" t="str">
        <f>IFERROR(INDEX(PitRawData!$A$1:$AMK$3,3,MATCH(J19,PitRawData!$A$1:$AMK$1,0)),"NO DATA")</f>
        <v>NO DATA</v>
      </c>
      <c r="E19" s="7" t="str">
        <f>IFERROR(INDEX(PitRawData!$A$1:$AMK$3,3,MATCH(K19,PitRawData!$A$1:$AMK$1,0)),"NO DATA")</f>
        <v>NO DATA</v>
      </c>
      <c r="F19" s="10">
        <f t="shared" si="1"/>
        <v>0</v>
      </c>
      <c r="H19" s="6" t="s">
        <v>211</v>
      </c>
      <c r="I19" s="6" t="s">
        <v>192</v>
      </c>
      <c r="J19" s="6" t="s">
        <v>174</v>
      </c>
      <c r="K19" s="6" t="s">
        <v>155</v>
      </c>
    </row>
    <row r="20" spans="1:11" ht="15" customHeight="1" x14ac:dyDescent="0.25">
      <c r="A20" s="7" t="s">
        <v>702</v>
      </c>
      <c r="B20" s="7" t="str">
        <f>IFERROR(INDEX(PitRawData!$A$1:$AMK$3,3,MATCH(H20,PitRawData!$A$1:$AMK$1,0)),"NO DATA")</f>
        <v>NO DATA</v>
      </c>
      <c r="C20" s="7" t="str">
        <f>IFERROR(INDEX(PitRawData!$A$1:$AMK$3,3,MATCH(I20,PitRawData!$A$1:$AMK$1,0)),"NO DATA")</f>
        <v>NO DATA</v>
      </c>
      <c r="D20" s="7" t="str">
        <f>IFERROR(INDEX(PitRawData!$A$1:$AMK$3,3,MATCH(J20,PitRawData!$A$1:$AMK$1,0)),"NO DATA")</f>
        <v>NO DATA</v>
      </c>
      <c r="E20" s="7" t="str">
        <f>IFERROR(INDEX(PitRawData!$A$1:$AMK$3,3,MATCH(K20,PitRawData!$A$1:$AMK$1,0)),"NO DATA")</f>
        <v>NO DATA</v>
      </c>
      <c r="F20" s="10">
        <f t="shared" si="1"/>
        <v>0</v>
      </c>
      <c r="H20" s="6" t="s">
        <v>208</v>
      </c>
      <c r="I20" s="6" t="s">
        <v>189</v>
      </c>
      <c r="J20" s="6" t="s">
        <v>171</v>
      </c>
      <c r="K20" s="6" t="s">
        <v>152</v>
      </c>
    </row>
    <row r="21" spans="1:11" ht="15" customHeight="1" x14ac:dyDescent="0.25">
      <c r="A21" s="7" t="s">
        <v>703</v>
      </c>
      <c r="B21" s="7" t="str">
        <f>IFERROR(INDEX(PitRawData!$A$1:$AMK$3,3,MATCH(H21,PitRawData!$A$1:$AMK$1,0)),"NO DATA")</f>
        <v>NO DATA</v>
      </c>
      <c r="C21" s="7" t="str">
        <f>IFERROR(INDEX(PitRawData!$A$1:$AMK$3,3,MATCH(I21,PitRawData!$A$1:$AMK$1,0)),"NO DATA")</f>
        <v>NO DATA</v>
      </c>
      <c r="D21" s="7" t="str">
        <f>IFERROR(INDEX(PitRawData!$A$1:$AMK$3,3,MATCH(J21,PitRawData!$A$1:$AMK$1,0)),"NO DATA")</f>
        <v>NO DATA</v>
      </c>
      <c r="E21" s="7" t="str">
        <f>IFERROR(INDEX(PitRawData!$A$1:$AMK$3,3,MATCH(K21,PitRawData!$A$1:$AMK$1,0)),"NO DATA")</f>
        <v>NO DATA</v>
      </c>
      <c r="F21" s="10">
        <f t="shared" si="1"/>
        <v>0</v>
      </c>
      <c r="H21" s="6" t="s">
        <v>209</v>
      </c>
      <c r="I21" s="6" t="s">
        <v>190</v>
      </c>
      <c r="J21" s="6" t="s">
        <v>172</v>
      </c>
      <c r="K21" s="6" t="s">
        <v>153</v>
      </c>
    </row>
    <row r="22" spans="1:11" ht="15" customHeight="1" x14ac:dyDescent="0.25">
      <c r="A22" s="7" t="s">
        <v>704</v>
      </c>
      <c r="B22" s="7" t="str">
        <f>IFERROR(INDEX(PitRawData!$A$1:$AMK$3,3,MATCH(H22,PitRawData!$A$1:$AMK$1,0)),"NO DATA")</f>
        <v>NO DATA</v>
      </c>
      <c r="C22" s="7" t="str">
        <f>IFERROR(INDEX(PitRawData!$A$1:$AMK$3,3,MATCH(I22,PitRawData!$A$1:$AMK$1,0)),"NO DATA")</f>
        <v>NO DATA</v>
      </c>
      <c r="D22" s="7" t="str">
        <f>IFERROR(INDEX(PitRawData!$A$1:$AMK$3,3,MATCH(J22,PitRawData!$A$1:$AMK$1,0)),"NO DATA")</f>
        <v>NO DATA</v>
      </c>
      <c r="E22" s="7" t="str">
        <f>IFERROR(INDEX(PitRawData!$A$1:$AMK$3,3,MATCH(K22,PitRawData!$A$1:$AMK$1,0)),"NO DATA")</f>
        <v>NO DATA</v>
      </c>
      <c r="F22" s="10">
        <f t="shared" si="1"/>
        <v>0</v>
      </c>
      <c r="H22" s="6" t="s">
        <v>214</v>
      </c>
      <c r="I22" s="6" t="s">
        <v>195</v>
      </c>
      <c r="J22" s="6" t="s">
        <v>177</v>
      </c>
      <c r="K22" s="6" t="s">
        <v>158</v>
      </c>
    </row>
    <row r="23" spans="1:11" ht="15" customHeight="1" x14ac:dyDescent="0.25">
      <c r="A23" s="7" t="s">
        <v>705</v>
      </c>
      <c r="B23" s="7" t="str">
        <f>IFERROR(INDEX(PitRawData!$A$1:$AMK$3,3,MATCH(H23,PitRawData!$A$1:$AMK$1,0)),"NO DATA")</f>
        <v>NO DATA</v>
      </c>
      <c r="C23" s="7" t="str">
        <f>IFERROR(INDEX(PitRawData!$A$1:$AMK$3,3,MATCH(I23,PitRawData!$A$1:$AMK$1,0)),"NO DATA")</f>
        <v>NO DATA</v>
      </c>
      <c r="D23" s="7" t="str">
        <f>IFERROR(INDEX(PitRawData!$A$1:$AMK$3,3,MATCH(J23,PitRawData!$A$1:$AMK$1,0)),"NO DATA")</f>
        <v>NO DATA</v>
      </c>
      <c r="E23" s="7" t="str">
        <f>IFERROR(INDEX(PitRawData!$A$1:$AMK$3,3,MATCH(K23,PitRawData!$A$1:$AMK$1,0)),"NO DATA")</f>
        <v>NO DATA</v>
      </c>
      <c r="F23" s="10">
        <f t="shared" si="1"/>
        <v>0</v>
      </c>
      <c r="H23" s="6" t="s">
        <v>206</v>
      </c>
      <c r="I23" s="6" t="s">
        <v>187</v>
      </c>
      <c r="J23" s="6" t="s">
        <v>169</v>
      </c>
      <c r="K23" s="6" t="s">
        <v>150</v>
      </c>
    </row>
    <row r="24" spans="1:11" ht="15" customHeight="1" x14ac:dyDescent="0.25">
      <c r="A24" s="7" t="s">
        <v>706</v>
      </c>
      <c r="B24" s="7" t="str">
        <f>IFERROR(INDEX(PitRawData!$A$1:$AMK$3,3,MATCH(H24,PitRawData!$A$1:$AMK$1,0)),"NO DATA")</f>
        <v>NO DATA</v>
      </c>
      <c r="C24" s="7" t="str">
        <f>IFERROR(INDEX(PitRawData!$A$1:$AMK$3,3,MATCH(I24,PitRawData!$A$1:$AMK$1,0)),"NO DATA")</f>
        <v>NO DATA</v>
      </c>
      <c r="D24" s="7" t="str">
        <f>IFERROR(INDEX(PitRawData!$A$1:$AMK$3,3,MATCH(J24,PitRawData!$A$1:$AMK$1,0)),"NO DATA")</f>
        <v>NO DATA</v>
      </c>
      <c r="E24" s="7" t="str">
        <f>IFERROR(INDEX(PitRawData!$A$1:$AMK$3,3,MATCH(K24,PitRawData!$A$1:$AMK$1,0)),"NO DATA")</f>
        <v>NO DATA</v>
      </c>
      <c r="F24" s="10">
        <f t="shared" si="1"/>
        <v>0</v>
      </c>
      <c r="H24" s="6" t="s">
        <v>207</v>
      </c>
      <c r="I24" s="6" t="s">
        <v>188</v>
      </c>
      <c r="J24" s="6" t="s">
        <v>170</v>
      </c>
      <c r="K24" s="6" t="s">
        <v>151</v>
      </c>
    </row>
    <row r="25" spans="1:11" ht="15" customHeight="1" x14ac:dyDescent="0.25">
      <c r="A25" s="7" t="s">
        <v>707</v>
      </c>
      <c r="B25" s="7" t="str">
        <f>IFERROR(INDEX(PitRawData!$A$1:$AMK$3,3,MATCH(H25,PitRawData!$A$1:$AMK$1,0)),"NO DATA")</f>
        <v>NO DATA</v>
      </c>
      <c r="C25" s="7" t="str">
        <f>IFERROR(INDEX(PitRawData!$A$1:$AMK$3,3,MATCH(I25,PitRawData!$A$1:$AMK$1,0)),"NO DATA")</f>
        <v>NO DATA</v>
      </c>
      <c r="D25" s="7" t="str">
        <f>IFERROR(INDEX(PitRawData!$A$1:$AMK$3,3,MATCH(J25,PitRawData!$A$1:$AMK$1,0)),"NO DATA")</f>
        <v>NO DATA</v>
      </c>
      <c r="E25" s="7" t="str">
        <f>IFERROR(INDEX(PitRawData!$A$1:$AMK$3,3,MATCH(K25,PitRawData!$A$1:$AMK$1,0)),"NO DATA")</f>
        <v>NO DATA</v>
      </c>
      <c r="F25" s="10">
        <f t="shared" si="1"/>
        <v>0</v>
      </c>
      <c r="H25" s="6" t="s">
        <v>202</v>
      </c>
      <c r="I25" s="6" t="s">
        <v>183</v>
      </c>
      <c r="J25" s="6" t="s">
        <v>165</v>
      </c>
      <c r="K25" s="6" t="s">
        <v>146</v>
      </c>
    </row>
    <row r="26" spans="1:11" ht="15" customHeight="1" x14ac:dyDescent="0.25">
      <c r="A26" s="7" t="s">
        <v>708</v>
      </c>
      <c r="B26" s="7" t="str">
        <f>IFERROR(INDEX(PitRawData!$A$1:$AMK$3,3,MATCH(H26,PitRawData!$A$1:$AMK$1,0)),"NO DATA")</f>
        <v>NO DATA</v>
      </c>
      <c r="C26" s="7" t="str">
        <f>IFERROR(INDEX(PitRawData!$A$1:$AMK$3,3,MATCH(I26,PitRawData!$A$1:$AMK$1,0)),"NO DATA")</f>
        <v>NO DATA</v>
      </c>
      <c r="D26" s="7" t="str">
        <f>IFERROR(INDEX(PitRawData!$A$1:$AMK$3,3,MATCH(J26,PitRawData!$A$1:$AMK$1,0)),"NO DATA")</f>
        <v>NO DATA</v>
      </c>
      <c r="E26" s="7" t="str">
        <f>IFERROR(INDEX(PitRawData!$A$1:$AMK$3,3,MATCH(K26,PitRawData!$A$1:$AMK$1,0)),"NO DATA")</f>
        <v>NO DATA</v>
      </c>
      <c r="F26" s="10">
        <f t="shared" si="1"/>
        <v>0</v>
      </c>
      <c r="H26" s="6" t="s">
        <v>203</v>
      </c>
      <c r="I26" s="6" t="s">
        <v>184</v>
      </c>
      <c r="J26" s="6" t="s">
        <v>166</v>
      </c>
      <c r="K26" s="6" t="s">
        <v>147</v>
      </c>
    </row>
    <row r="27" spans="1:11" ht="15" customHeight="1" x14ac:dyDescent="0.25">
      <c r="A27" s="7" t="s">
        <v>709</v>
      </c>
      <c r="B27" s="7" t="str">
        <f>IFERROR(INDEX(PitRawData!$A$1:$AMK$3,3,MATCH(H27,PitRawData!$A$1:$AMK$1,0)),"NO DATA")</f>
        <v>NO DATA</v>
      </c>
      <c r="C27" s="7" t="str">
        <f>IFERROR(INDEX(PitRawData!$A$1:$AMK$3,3,MATCH(I27,PitRawData!$A$1:$AMK$1,0)),"NO DATA")</f>
        <v>NO DATA</v>
      </c>
      <c r="D27" s="7" t="str">
        <f>IFERROR(INDEX(PitRawData!$A$1:$AMK$3,3,MATCH(J27,PitRawData!$A$1:$AMK$1,0)),"NO DATA")</f>
        <v>NO DATA</v>
      </c>
      <c r="E27" s="7" t="str">
        <f>IFERROR(INDEX(PitRawData!$A$1:$AMK$3,3,MATCH(K27,PitRawData!$A$1:$AMK$1,0)),"NO DATA")</f>
        <v>NO DATA</v>
      </c>
      <c r="F27" s="10">
        <f t="shared" si="1"/>
        <v>0</v>
      </c>
      <c r="H27" s="6" t="s">
        <v>200</v>
      </c>
      <c r="I27" s="6" t="s">
        <v>181</v>
      </c>
      <c r="J27" s="6" t="s">
        <v>163</v>
      </c>
      <c r="K27" s="6" t="s">
        <v>144</v>
      </c>
    </row>
    <row r="28" spans="1:11" ht="15" customHeight="1" x14ac:dyDescent="0.25">
      <c r="A28" s="7" t="s">
        <v>710</v>
      </c>
      <c r="B28" s="7" t="str">
        <f>IFERROR(INDEX(PitRawData!$A$1:$AMK$3,3,MATCH(H28,PitRawData!$A$1:$AMK$1,0)),"NO DATA")</f>
        <v>NO DATA</v>
      </c>
      <c r="C28" s="7" t="str">
        <f>IFERROR(INDEX(PitRawData!$A$1:$AMK$3,3,MATCH(I28,PitRawData!$A$1:$AMK$1,0)),"NO DATA")</f>
        <v>NO DATA</v>
      </c>
      <c r="D28" s="7" t="str">
        <f>IFERROR(INDEX(PitRawData!$A$1:$AMK$3,3,MATCH(J28,PitRawData!$A$1:$AMK$1,0)),"NO DATA")</f>
        <v>NO DATA</v>
      </c>
      <c r="E28" s="7" t="str">
        <f>IFERROR(INDEX(PitRawData!$A$1:$AMK$3,3,MATCH(K28,PitRawData!$A$1:$AMK$1,0)),"NO DATA")</f>
        <v>NO DATA</v>
      </c>
      <c r="F28" s="10">
        <f t="shared" si="1"/>
        <v>0</v>
      </c>
      <c r="H28" s="6" t="s">
        <v>201</v>
      </c>
      <c r="I28" s="6" t="s">
        <v>182</v>
      </c>
      <c r="J28" s="6" t="s">
        <v>164</v>
      </c>
      <c r="K28" s="6" t="s">
        <v>145</v>
      </c>
    </row>
    <row r="29" spans="1:11" ht="15" customHeight="1" x14ac:dyDescent="0.25">
      <c r="A29" s="7" t="s">
        <v>711</v>
      </c>
      <c r="B29" s="7" t="str">
        <f>IFERROR(INDEX(PitRawData!$A$1:$AMK$3,3,MATCH(H29,PitRawData!$A$1:$AMK$1,0)),"NO DATA")</f>
        <v>NO DATA</v>
      </c>
      <c r="C29" s="7" t="str">
        <f>IFERROR(INDEX(PitRawData!$A$1:$AMK$3,3,MATCH(I29,PitRawData!$A$1:$AMK$1,0)),"NO DATA")</f>
        <v>NO DATA</v>
      </c>
      <c r="D29" s="7" t="str">
        <f>IFERROR(INDEX(PitRawData!$A$1:$AMK$3,3,MATCH(J29,PitRawData!$A$1:$AMK$1,0)),"NO DATA")</f>
        <v>NO DATA</v>
      </c>
      <c r="E29" s="7" t="str">
        <f>IFERROR(INDEX(PitRawData!$A$1:$AMK$3,3,MATCH(K29,PitRawData!$A$1:$AMK$1,0)),"NO DATA")</f>
        <v>NO DATA</v>
      </c>
      <c r="F29" s="10">
        <f t="shared" si="1"/>
        <v>0</v>
      </c>
      <c r="H29" s="6" t="s">
        <v>205</v>
      </c>
      <c r="I29" s="6" t="s">
        <v>186</v>
      </c>
      <c r="J29" s="6" t="s">
        <v>168</v>
      </c>
      <c r="K29" s="6" t="s">
        <v>149</v>
      </c>
    </row>
    <row r="30" spans="1:11" ht="15" customHeight="1" x14ac:dyDescent="0.25">
      <c r="A30" s="7" t="s">
        <v>712</v>
      </c>
      <c r="B30" s="7" t="str">
        <f>IFERROR(INDEX(PitRawData!$A$1:$AMK$3,3,MATCH(H30,PitRawData!$A$1:$AMK$1,0)),"NO DATA")</f>
        <v>NO DATA</v>
      </c>
      <c r="C30" s="7" t="str">
        <f>IFERROR(INDEX(PitRawData!$A$1:$AMK$3,3,MATCH(I30,PitRawData!$A$1:$AMK$1,0)),"NO DATA")</f>
        <v>NO DATA</v>
      </c>
      <c r="D30" s="7" t="str">
        <f>IFERROR(INDEX(PitRawData!$A$1:$AMK$3,3,MATCH(J30,PitRawData!$A$1:$AMK$1,0)),"NO DATA")</f>
        <v>NO DATA</v>
      </c>
      <c r="E30" s="7" t="str">
        <f>IFERROR(INDEX(PitRawData!$A$1:$AMK$3,3,MATCH(K30,PitRawData!$A$1:$AMK$1,0)),"NO DATA")</f>
        <v>NO DATA</v>
      </c>
      <c r="F30" s="10">
        <f t="shared" si="1"/>
        <v>0</v>
      </c>
      <c r="H30" s="6" t="s">
        <v>204</v>
      </c>
      <c r="I30" s="6" t="s">
        <v>185</v>
      </c>
      <c r="J30" s="6" t="s">
        <v>167</v>
      </c>
      <c r="K30" s="6" t="s">
        <v>148</v>
      </c>
    </row>
    <row r="31" spans="1:11" ht="18" customHeight="1" x14ac:dyDescent="0.25">
      <c r="B31" s="16"/>
      <c r="C31" s="16"/>
      <c r="D31" s="17"/>
      <c r="E31" s="16"/>
      <c r="F31" s="16"/>
    </row>
    <row r="32" spans="1:11" ht="21" customHeight="1" x14ac:dyDescent="0.25">
      <c r="B32" s="2" t="s">
        <v>4</v>
      </c>
      <c r="C32" s="2"/>
      <c r="D32" s="2"/>
      <c r="E32" s="3" t="s">
        <v>5</v>
      </c>
      <c r="F32" s="2" t="s">
        <v>2</v>
      </c>
    </row>
    <row r="33" spans="1:11" ht="18" customHeight="1" x14ac:dyDescent="0.25">
      <c r="A33" s="48" t="s">
        <v>15</v>
      </c>
      <c r="B33" s="4" t="s">
        <v>0</v>
      </c>
      <c r="C33" s="4" t="s">
        <v>1</v>
      </c>
      <c r="D33" s="4" t="s">
        <v>719</v>
      </c>
      <c r="E33" s="2"/>
      <c r="F33" s="2"/>
    </row>
    <row r="34" spans="1:11" ht="15" customHeight="1" x14ac:dyDescent="0.25">
      <c r="A34" s="7" t="s">
        <v>17</v>
      </c>
      <c r="B34" s="7" t="str">
        <f>IFERROR(INDEX(PitRawData!$A$1:$AMK$3,3,MATCH(H34,PitRawData!$A$1:$AMK$1,0)),"NO DATA")</f>
        <v>NO DATA</v>
      </c>
      <c r="C34" s="25" t="s">
        <v>697</v>
      </c>
      <c r="D34" s="7" t="str">
        <f>IFERROR(INDEX(PitRawData!$A$1:$AMK$3,3,MATCH(J34,PitRawData!$A$1:$AMK$1,0)),"NO DATA")</f>
        <v>NO DATA</v>
      </c>
      <c r="E34" s="7" t="str">
        <f>IFERROR(INDEX(PitRawData!$A$1:$AMK$3,3,MATCH(K34,PitRawData!$A$1:$AMK$1,0)),"NO DATA")</f>
        <v>NO DATA</v>
      </c>
      <c r="F34" s="10">
        <f>SUM(B34:E34)</f>
        <v>0</v>
      </c>
      <c r="H34" s="6" t="s">
        <v>199</v>
      </c>
      <c r="J34" s="6" t="s">
        <v>162</v>
      </c>
      <c r="K34" s="6" t="s">
        <v>143</v>
      </c>
    </row>
    <row r="35" spans="1:11" ht="15" customHeight="1" x14ac:dyDescent="0.25"/>
    <row r="36" spans="1:11" hidden="1" x14ac:dyDescent="0.25">
      <c r="A36" s="20"/>
    </row>
    <row r="37" spans="1:11" hidden="1" x14ac:dyDescent="0.25">
      <c r="A37" s="20"/>
    </row>
  </sheetData>
  <sheetProtection algorithmName="SHA-512" hashValue="Rw7Wa3uFol71eI0U+rQKAcPRTZwMIS9gt+kZyn9xq+FTNqVm9hrWTM2i9LVzT6zw33TCGrmv2l0xQ8qwDVg0dQ==" saltValue="hd7BCg37Ta1f+GI0Z7NkEg==" spinCount="100000" sheet="1" objects="1" scenarios="1"/>
  <conditionalFormatting sqref="A3:F3">
    <cfRule type="expression" dxfId="8" priority="1">
      <formula>$A$3="PASTE DATA INTO THE 'PitRawData' TAB TO POPULATE THIS TEMPLATE."</formula>
    </cfRule>
  </conditionalFormatting>
  <pageMargins left="0.25" right="0.25" top="0.75" bottom="0.75" header="0.3" footer="0.3"/>
  <pageSetup orientation="landscape" r:id="rId1"/>
  <rowBreaks count="1" manualBreakCount="1">
    <brk id="12"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5953-B6DA-49B2-89E4-F2DC7FECC55F}">
  <sheetPr codeName="Sheet18"/>
  <dimension ref="A1:K37"/>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6384" width="9.140625" style="6" hidden="1"/>
  </cols>
  <sheetData>
    <row r="1" spans="1:7" ht="21" customHeight="1" x14ac:dyDescent="0.25">
      <c r="A1" s="39" t="s">
        <v>726</v>
      </c>
      <c r="B1" s="46"/>
      <c r="C1" s="46"/>
      <c r="D1" s="46"/>
      <c r="E1" s="46"/>
      <c r="F1" s="46"/>
      <c r="G1" s="37"/>
    </row>
    <row r="2" spans="1:7" ht="18" customHeight="1" x14ac:dyDescent="0.25">
      <c r="A2" s="45" t="str">
        <f>HeadingLine2</f>
        <v/>
      </c>
      <c r="B2" s="46"/>
      <c r="C2" s="46"/>
      <c r="D2" s="46"/>
      <c r="E2" s="46"/>
      <c r="F2" s="46"/>
      <c r="G2" s="37"/>
    </row>
    <row r="3" spans="1:7" ht="18" customHeight="1" x14ac:dyDescent="0.25">
      <c r="A3" s="45" t="str">
        <f>HeadingLine3</f>
        <v>PASTE DATA INTO THE 'PitRawData' TAB TO POPULATE THIS TEMPLATE.</v>
      </c>
      <c r="B3" s="46"/>
      <c r="C3" s="46"/>
      <c r="D3" s="46"/>
      <c r="E3" s="46"/>
      <c r="F3" s="46"/>
      <c r="G3" s="37"/>
    </row>
    <row r="4" spans="1:7" ht="18" customHeight="1" x14ac:dyDescent="0.25">
      <c r="A4" s="45" t="str">
        <f>HeadingLine4</f>
        <v/>
      </c>
      <c r="B4" s="46"/>
      <c r="C4" s="46"/>
      <c r="D4" s="46"/>
      <c r="E4" s="46"/>
      <c r="F4" s="46"/>
      <c r="G4" s="37"/>
    </row>
    <row r="5" spans="1:7" ht="18" customHeight="1" x14ac:dyDescent="0.25">
      <c r="A5" s="39"/>
      <c r="B5" s="36"/>
      <c r="C5" s="37"/>
      <c r="D5" s="37"/>
      <c r="E5" s="37"/>
      <c r="F5" s="37"/>
      <c r="G5" s="37"/>
    </row>
    <row r="6" spans="1:7" ht="18" customHeight="1" x14ac:dyDescent="0.3">
      <c r="A6" s="47" t="s">
        <v>725</v>
      </c>
      <c r="B6" s="37"/>
      <c r="C6" s="37"/>
      <c r="D6" s="37"/>
      <c r="E6" s="37"/>
      <c r="F6" s="37"/>
      <c r="G6" s="37"/>
    </row>
    <row r="7" spans="1:7" ht="15" customHeight="1" x14ac:dyDescent="0.25">
      <c r="A7" s="40"/>
      <c r="B7" s="37"/>
      <c r="C7" s="37"/>
      <c r="D7" s="37"/>
      <c r="E7" s="37"/>
      <c r="F7" s="37"/>
      <c r="G7" s="37"/>
    </row>
    <row r="8" spans="1:7" ht="21" customHeight="1" x14ac:dyDescent="0.25">
      <c r="B8" s="2" t="s">
        <v>4</v>
      </c>
      <c r="C8" s="2"/>
      <c r="D8" s="2"/>
      <c r="E8" s="3" t="s">
        <v>5</v>
      </c>
      <c r="F8" s="2" t="s">
        <v>2</v>
      </c>
      <c r="G8" s="22"/>
    </row>
    <row r="9" spans="1:7" ht="18" customHeight="1" x14ac:dyDescent="0.25">
      <c r="A9" s="48" t="s">
        <v>3</v>
      </c>
      <c r="B9" s="4" t="s">
        <v>0</v>
      </c>
      <c r="C9" s="4" t="s">
        <v>1</v>
      </c>
      <c r="D9" s="4" t="s">
        <v>719</v>
      </c>
      <c r="E9" s="2"/>
      <c r="F9" s="2"/>
      <c r="G9" s="38"/>
    </row>
    <row r="10" spans="1:7" ht="15" customHeight="1" x14ac:dyDescent="0.25">
      <c r="A10" s="7" t="s">
        <v>6</v>
      </c>
      <c r="B10" s="9" t="e">
        <f>Vets_AC!B10+Vets_AO!B10</f>
        <v>#VALUE!</v>
      </c>
      <c r="C10" s="9" t="e">
        <f>Vets_AC!C10+Vets_AO!C10</f>
        <v>#VALUE!</v>
      </c>
      <c r="D10" s="9" t="str">
        <f>Vets_AO!D10</f>
        <v>NO DATA</v>
      </c>
      <c r="E10" s="9" t="e">
        <f>Vets_AC!D10+Vets_AO!E10</f>
        <v>#VALUE!</v>
      </c>
      <c r="F10" s="9" t="e">
        <f>SUM(B10:E10)</f>
        <v>#VALUE!</v>
      </c>
      <c r="G10" s="38"/>
    </row>
    <row r="11" spans="1:7" ht="15" customHeight="1" x14ac:dyDescent="0.25">
      <c r="A11" s="7" t="s">
        <v>18</v>
      </c>
      <c r="B11" s="9" t="e">
        <f>Vets_AC!B11+Vets_AO!B11</f>
        <v>#VALUE!</v>
      </c>
      <c r="C11" s="9" t="e">
        <f>Vets_AC!C11+Vets_AO!C11</f>
        <v>#VALUE!</v>
      </c>
      <c r="D11" s="9" t="str">
        <f>Vets_AO!D11</f>
        <v>NO DATA</v>
      </c>
      <c r="E11" s="9" t="e">
        <f>Vets_AC!D11+Vets_AO!E11</f>
        <v>#VALUE!</v>
      </c>
      <c r="F11" s="9" t="e">
        <f t="shared" ref="F11:F12" si="0">SUM(B11:E11)</f>
        <v>#VALUE!</v>
      </c>
      <c r="G11" s="38"/>
    </row>
    <row r="12" spans="1:7" ht="15" customHeight="1" x14ac:dyDescent="0.25">
      <c r="A12" s="7" t="s">
        <v>20</v>
      </c>
      <c r="B12" s="9" t="e">
        <f>Vets_AC!B12+Vets_AO!B12</f>
        <v>#VALUE!</v>
      </c>
      <c r="C12" s="9" t="e">
        <f>Vets_AC!C12+Vets_AO!C12</f>
        <v>#VALUE!</v>
      </c>
      <c r="D12" s="9" t="str">
        <f>Vets_AO!D12</f>
        <v>NO DATA</v>
      </c>
      <c r="E12" s="9" t="e">
        <f>Vets_AC!D12+Vets_AO!E12</f>
        <v>#VALUE!</v>
      </c>
      <c r="F12" s="9" t="e">
        <f t="shared" si="0"/>
        <v>#VALUE!</v>
      </c>
      <c r="G12" s="38"/>
    </row>
    <row r="13" spans="1:7" ht="15" customHeight="1" x14ac:dyDescent="0.25"/>
    <row r="14" spans="1:7" ht="21" customHeight="1" x14ac:dyDescent="0.25">
      <c r="B14" s="2" t="s">
        <v>4</v>
      </c>
      <c r="C14" s="2"/>
      <c r="D14" s="2"/>
      <c r="E14" s="3" t="s">
        <v>5</v>
      </c>
      <c r="F14" s="2" t="s">
        <v>2</v>
      </c>
      <c r="G14" s="38"/>
    </row>
    <row r="15" spans="1:7" ht="18" customHeight="1" x14ac:dyDescent="0.25">
      <c r="A15" s="48" t="s">
        <v>717</v>
      </c>
      <c r="B15" s="4" t="s">
        <v>0</v>
      </c>
      <c r="C15" s="4" t="s">
        <v>1</v>
      </c>
      <c r="D15" s="4" t="s">
        <v>719</v>
      </c>
      <c r="E15" s="2"/>
      <c r="F15" s="2"/>
      <c r="G15" s="38"/>
    </row>
    <row r="16" spans="1:7" ht="15" customHeight="1" x14ac:dyDescent="0.25">
      <c r="A16" s="7" t="s">
        <v>698</v>
      </c>
      <c r="B16" s="10" t="e">
        <f>Vets_AC!B16+Vets_AO!B16</f>
        <v>#VALUE!</v>
      </c>
      <c r="C16" s="10" t="e">
        <f>Vets_AC!C16+Vets_AO!C16</f>
        <v>#VALUE!</v>
      </c>
      <c r="D16" s="10" t="str">
        <f>Vets_AO!D16</f>
        <v>NO DATA</v>
      </c>
      <c r="E16" s="10" t="e">
        <f>Vets_AC!D16+Vets_AO!E16</f>
        <v>#VALUE!</v>
      </c>
      <c r="F16" s="10" t="e">
        <f>SUM(B16:E16)</f>
        <v>#VALUE!</v>
      </c>
    </row>
    <row r="17" spans="1:6" ht="15" customHeight="1" x14ac:dyDescent="0.25">
      <c r="A17" s="7" t="s">
        <v>699</v>
      </c>
      <c r="B17" s="10" t="e">
        <f>Vets_AC!B17+Vets_AO!B17</f>
        <v>#VALUE!</v>
      </c>
      <c r="C17" s="10" t="e">
        <f>Vets_AC!C17+Vets_AO!C17</f>
        <v>#VALUE!</v>
      </c>
      <c r="D17" s="10" t="str">
        <f>Vets_AO!D17</f>
        <v>NO DATA</v>
      </c>
      <c r="E17" s="10" t="e">
        <f>Vets_AC!D17+Vets_AO!E17</f>
        <v>#VALUE!</v>
      </c>
      <c r="F17" s="10" t="e">
        <f t="shared" ref="F17:F30" si="1">SUM(B17:E17)</f>
        <v>#VALUE!</v>
      </c>
    </row>
    <row r="18" spans="1:6" ht="15" customHeight="1" x14ac:dyDescent="0.25">
      <c r="A18" s="7" t="s">
        <v>700</v>
      </c>
      <c r="B18" s="10" t="e">
        <f>Vets_AC!B18+Vets_AO!B18</f>
        <v>#VALUE!</v>
      </c>
      <c r="C18" s="10" t="e">
        <f>Vets_AC!C18+Vets_AO!C18</f>
        <v>#VALUE!</v>
      </c>
      <c r="D18" s="10" t="str">
        <f>Vets_AO!D18</f>
        <v>NO DATA</v>
      </c>
      <c r="E18" s="10" t="e">
        <f>Vets_AC!D18+Vets_AO!E18</f>
        <v>#VALUE!</v>
      </c>
      <c r="F18" s="10" t="e">
        <f t="shared" si="1"/>
        <v>#VALUE!</v>
      </c>
    </row>
    <row r="19" spans="1:6" ht="15" customHeight="1" x14ac:dyDescent="0.25">
      <c r="A19" s="7" t="s">
        <v>701</v>
      </c>
      <c r="B19" s="10" t="e">
        <f>Vets_AC!B19+Vets_AO!B19</f>
        <v>#VALUE!</v>
      </c>
      <c r="C19" s="10" t="e">
        <f>Vets_AC!C19+Vets_AO!C19</f>
        <v>#VALUE!</v>
      </c>
      <c r="D19" s="10" t="str">
        <f>Vets_AO!D19</f>
        <v>NO DATA</v>
      </c>
      <c r="E19" s="10" t="e">
        <f>Vets_AC!D19+Vets_AO!E19</f>
        <v>#VALUE!</v>
      </c>
      <c r="F19" s="10" t="e">
        <f t="shared" si="1"/>
        <v>#VALUE!</v>
      </c>
    </row>
    <row r="20" spans="1:6" ht="15" customHeight="1" x14ac:dyDescent="0.25">
      <c r="A20" s="7" t="s">
        <v>702</v>
      </c>
      <c r="B20" s="10" t="e">
        <f>Vets_AC!B20+Vets_AO!B20</f>
        <v>#VALUE!</v>
      </c>
      <c r="C20" s="10" t="e">
        <f>Vets_AC!C20+Vets_AO!C20</f>
        <v>#VALUE!</v>
      </c>
      <c r="D20" s="10" t="str">
        <f>Vets_AO!D20</f>
        <v>NO DATA</v>
      </c>
      <c r="E20" s="10" t="e">
        <f>Vets_AC!D20+Vets_AO!E20</f>
        <v>#VALUE!</v>
      </c>
      <c r="F20" s="10" t="e">
        <f t="shared" si="1"/>
        <v>#VALUE!</v>
      </c>
    </row>
    <row r="21" spans="1:6" ht="15" customHeight="1" x14ac:dyDescent="0.25">
      <c r="A21" s="7" t="s">
        <v>703</v>
      </c>
      <c r="B21" s="10" t="e">
        <f>Vets_AC!B21+Vets_AO!B21</f>
        <v>#VALUE!</v>
      </c>
      <c r="C21" s="10" t="e">
        <f>Vets_AC!C21+Vets_AO!C21</f>
        <v>#VALUE!</v>
      </c>
      <c r="D21" s="10" t="str">
        <f>Vets_AO!D21</f>
        <v>NO DATA</v>
      </c>
      <c r="E21" s="10" t="e">
        <f>Vets_AC!D21+Vets_AO!E21</f>
        <v>#VALUE!</v>
      </c>
      <c r="F21" s="10" t="e">
        <f t="shared" si="1"/>
        <v>#VALUE!</v>
      </c>
    </row>
    <row r="22" spans="1:6" ht="15" customHeight="1" x14ac:dyDescent="0.25">
      <c r="A22" s="7" t="s">
        <v>704</v>
      </c>
      <c r="B22" s="10" t="e">
        <f>Vets_AC!B22+Vets_AO!B22</f>
        <v>#VALUE!</v>
      </c>
      <c r="C22" s="10" t="e">
        <f>Vets_AC!C22+Vets_AO!C22</f>
        <v>#VALUE!</v>
      </c>
      <c r="D22" s="10" t="str">
        <f>Vets_AO!D22</f>
        <v>NO DATA</v>
      </c>
      <c r="E22" s="10" t="e">
        <f>Vets_AC!D22+Vets_AO!E22</f>
        <v>#VALUE!</v>
      </c>
      <c r="F22" s="10" t="e">
        <f t="shared" si="1"/>
        <v>#VALUE!</v>
      </c>
    </row>
    <row r="23" spans="1:6" ht="15" customHeight="1" x14ac:dyDescent="0.25">
      <c r="A23" s="7" t="s">
        <v>705</v>
      </c>
      <c r="B23" s="10" t="e">
        <f>Vets_AC!B23+Vets_AO!B23</f>
        <v>#VALUE!</v>
      </c>
      <c r="C23" s="10" t="e">
        <f>Vets_AC!C23+Vets_AO!C23</f>
        <v>#VALUE!</v>
      </c>
      <c r="D23" s="10" t="str">
        <f>Vets_AO!D23</f>
        <v>NO DATA</v>
      </c>
      <c r="E23" s="10" t="e">
        <f>Vets_AC!D23+Vets_AO!E23</f>
        <v>#VALUE!</v>
      </c>
      <c r="F23" s="10" t="e">
        <f t="shared" si="1"/>
        <v>#VALUE!</v>
      </c>
    </row>
    <row r="24" spans="1:6" ht="15" customHeight="1" x14ac:dyDescent="0.25">
      <c r="A24" s="7" t="s">
        <v>706</v>
      </c>
      <c r="B24" s="10" t="e">
        <f>Vets_AC!B24+Vets_AO!B24</f>
        <v>#VALUE!</v>
      </c>
      <c r="C24" s="10" t="e">
        <f>Vets_AC!C24+Vets_AO!C24</f>
        <v>#VALUE!</v>
      </c>
      <c r="D24" s="10" t="str">
        <f>Vets_AO!D24</f>
        <v>NO DATA</v>
      </c>
      <c r="E24" s="10" t="e">
        <f>Vets_AC!D24+Vets_AO!E24</f>
        <v>#VALUE!</v>
      </c>
      <c r="F24" s="10" t="e">
        <f t="shared" si="1"/>
        <v>#VALUE!</v>
      </c>
    </row>
    <row r="25" spans="1:6" ht="15" customHeight="1" x14ac:dyDescent="0.25">
      <c r="A25" s="7" t="s">
        <v>707</v>
      </c>
      <c r="B25" s="10" t="e">
        <f>Vets_AC!B25+Vets_AO!B25</f>
        <v>#VALUE!</v>
      </c>
      <c r="C25" s="10" t="e">
        <f>Vets_AC!C25+Vets_AO!C25</f>
        <v>#VALUE!</v>
      </c>
      <c r="D25" s="10" t="str">
        <f>Vets_AO!D25</f>
        <v>NO DATA</v>
      </c>
      <c r="E25" s="10" t="e">
        <f>Vets_AC!D25+Vets_AO!E25</f>
        <v>#VALUE!</v>
      </c>
      <c r="F25" s="10" t="e">
        <f t="shared" si="1"/>
        <v>#VALUE!</v>
      </c>
    </row>
    <row r="26" spans="1:6" ht="15" customHeight="1" x14ac:dyDescent="0.25">
      <c r="A26" s="7" t="s">
        <v>708</v>
      </c>
      <c r="B26" s="10" t="e">
        <f>Vets_AC!B26+Vets_AO!B26</f>
        <v>#VALUE!</v>
      </c>
      <c r="C26" s="10" t="e">
        <f>Vets_AC!C26+Vets_AO!C26</f>
        <v>#VALUE!</v>
      </c>
      <c r="D26" s="10" t="str">
        <f>Vets_AO!D26</f>
        <v>NO DATA</v>
      </c>
      <c r="E26" s="10" t="e">
        <f>Vets_AC!D26+Vets_AO!E26</f>
        <v>#VALUE!</v>
      </c>
      <c r="F26" s="10" t="e">
        <f t="shared" si="1"/>
        <v>#VALUE!</v>
      </c>
    </row>
    <row r="27" spans="1:6" ht="15" customHeight="1" x14ac:dyDescent="0.25">
      <c r="A27" s="7" t="s">
        <v>709</v>
      </c>
      <c r="B27" s="10" t="e">
        <f>Vets_AC!B27+Vets_AO!B27</f>
        <v>#VALUE!</v>
      </c>
      <c r="C27" s="10" t="e">
        <f>Vets_AC!C27+Vets_AO!C27</f>
        <v>#VALUE!</v>
      </c>
      <c r="D27" s="10" t="str">
        <f>Vets_AO!D27</f>
        <v>NO DATA</v>
      </c>
      <c r="E27" s="10" t="e">
        <f>Vets_AC!D27+Vets_AO!E27</f>
        <v>#VALUE!</v>
      </c>
      <c r="F27" s="10" t="e">
        <f t="shared" si="1"/>
        <v>#VALUE!</v>
      </c>
    </row>
    <row r="28" spans="1:6" ht="15" customHeight="1" x14ac:dyDescent="0.25">
      <c r="A28" s="7" t="s">
        <v>710</v>
      </c>
      <c r="B28" s="10" t="e">
        <f>Vets_AC!B28+Vets_AO!B28</f>
        <v>#VALUE!</v>
      </c>
      <c r="C28" s="10" t="e">
        <f>Vets_AC!C28+Vets_AO!C28</f>
        <v>#VALUE!</v>
      </c>
      <c r="D28" s="10" t="str">
        <f>Vets_AO!D28</f>
        <v>NO DATA</v>
      </c>
      <c r="E28" s="10" t="e">
        <f>Vets_AC!D28+Vets_AO!E28</f>
        <v>#VALUE!</v>
      </c>
      <c r="F28" s="10" t="e">
        <f t="shared" si="1"/>
        <v>#VALUE!</v>
      </c>
    </row>
    <row r="29" spans="1:6" ht="15" customHeight="1" x14ac:dyDescent="0.25">
      <c r="A29" s="7" t="s">
        <v>711</v>
      </c>
      <c r="B29" s="10" t="e">
        <f>Vets_AC!B29+Vets_AO!B29</f>
        <v>#VALUE!</v>
      </c>
      <c r="C29" s="10" t="e">
        <f>Vets_AC!C29+Vets_AO!C29</f>
        <v>#VALUE!</v>
      </c>
      <c r="D29" s="10" t="str">
        <f>Vets_AO!D29</f>
        <v>NO DATA</v>
      </c>
      <c r="E29" s="10" t="e">
        <f>Vets_AC!D29+Vets_AO!E29</f>
        <v>#VALUE!</v>
      </c>
      <c r="F29" s="10" t="e">
        <f t="shared" si="1"/>
        <v>#VALUE!</v>
      </c>
    </row>
    <row r="30" spans="1:6" ht="15" customHeight="1" x14ac:dyDescent="0.25">
      <c r="A30" s="7" t="s">
        <v>712</v>
      </c>
      <c r="B30" s="10" t="e">
        <f>Vets_AC!B30+Vets_AO!B30</f>
        <v>#VALUE!</v>
      </c>
      <c r="C30" s="10" t="e">
        <f>Vets_AC!C30+Vets_AO!C30</f>
        <v>#VALUE!</v>
      </c>
      <c r="D30" s="10" t="str">
        <f>Vets_AO!D30</f>
        <v>NO DATA</v>
      </c>
      <c r="E30" s="10" t="e">
        <f>Vets_AC!D30+Vets_AO!E30</f>
        <v>#VALUE!</v>
      </c>
      <c r="F30" s="10" t="e">
        <f t="shared" si="1"/>
        <v>#VALUE!</v>
      </c>
    </row>
    <row r="31" spans="1:6" ht="15" customHeight="1" x14ac:dyDescent="0.25"/>
    <row r="32" spans="1:6" ht="21" customHeight="1" x14ac:dyDescent="0.25">
      <c r="B32" s="2" t="s">
        <v>4</v>
      </c>
      <c r="C32" s="2"/>
      <c r="D32" s="2"/>
      <c r="E32" s="3" t="s">
        <v>5</v>
      </c>
      <c r="F32" s="2" t="s">
        <v>2</v>
      </c>
    </row>
    <row r="33" spans="1:7" ht="18" customHeight="1" x14ac:dyDescent="0.25">
      <c r="A33" s="48" t="s">
        <v>15</v>
      </c>
      <c r="B33" s="4" t="s">
        <v>0</v>
      </c>
      <c r="C33" s="4" t="s">
        <v>1</v>
      </c>
      <c r="D33" s="4" t="s">
        <v>719</v>
      </c>
      <c r="E33" s="2"/>
      <c r="F33" s="2"/>
    </row>
    <row r="34" spans="1:7" ht="15" customHeight="1" x14ac:dyDescent="0.25">
      <c r="A34" s="7" t="s">
        <v>17</v>
      </c>
      <c r="B34" s="10" t="e">
        <f>Vets_AC!B35+Vets_AO!B34</f>
        <v>#VALUE!</v>
      </c>
      <c r="C34" s="25" t="s">
        <v>697</v>
      </c>
      <c r="D34" s="10" t="str">
        <f>Vets_AO!D34</f>
        <v>NO DATA</v>
      </c>
      <c r="E34" s="10" t="e">
        <f>Vets_AC!D35+Vets_AO!E34</f>
        <v>#VALUE!</v>
      </c>
      <c r="F34" s="10" t="e">
        <f>SUM(B34:E34)</f>
        <v>#VALUE!</v>
      </c>
    </row>
    <row r="35" spans="1:7" ht="15" customHeight="1" x14ac:dyDescent="0.25">
      <c r="G35" s="38"/>
    </row>
    <row r="36" spans="1:7" hidden="1" x14ac:dyDescent="0.25">
      <c r="A36" s="20"/>
    </row>
    <row r="37" spans="1:7" hidden="1" x14ac:dyDescent="0.25">
      <c r="A37" s="20"/>
    </row>
  </sheetData>
  <sheetProtection algorithmName="SHA-512" hashValue="K48mz7ecNOwSbcUib+JoAjALV18d8W0EpkXNlupM60r96xQoCayRR4SVoxQuV/P9vPZBlT1R2z/d/mpx6FvnIA==" saltValue="ybnpXUOyjFEgAErCm3Ojag==" spinCount="100000" sheet="1" objects="1" scenarios="1"/>
  <conditionalFormatting sqref="A3:F3">
    <cfRule type="expression" dxfId="7" priority="1">
      <formula>$A$3="PASTE DATA INTO THE 'PitRawData' TAB TO POPULATE THIS TEMPLATE."</formula>
    </cfRule>
  </conditionalFormatting>
  <pageMargins left="0.25" right="0.25" top="0.75" bottom="0.75" header="0.3" footer="0.3"/>
  <pageSetup orientation="landscape" r:id="rId1"/>
  <rowBreaks count="1" manualBreakCount="1">
    <brk id="12"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D29B6-9BEA-44C1-8656-40E8857129D4}">
  <sheetPr codeName="Sheet21"/>
  <dimension ref="A1:K15"/>
  <sheetViews>
    <sheetView zoomScaleNormal="100" workbookViewId="0"/>
  </sheetViews>
  <sheetFormatPr defaultColWidth="0" defaultRowHeight="15" zeroHeight="1" x14ac:dyDescent="0.25"/>
  <cols>
    <col min="1" max="1" width="62.7109375" style="6" customWidth="1"/>
    <col min="2" max="6" width="12.7109375" style="6" customWidth="1"/>
    <col min="7" max="7" width="9.140625" style="6" customWidth="1"/>
    <col min="8" max="11" width="39.7109375" style="6" hidden="1" customWidth="1"/>
    <col min="12" max="16384" width="9.140625" style="6" hidden="1"/>
  </cols>
  <sheetData>
    <row r="1" spans="1:11" ht="21" customHeight="1" x14ac:dyDescent="0.25">
      <c r="A1" s="39" t="s">
        <v>726</v>
      </c>
      <c r="B1" s="46"/>
      <c r="C1" s="46"/>
      <c r="D1" s="46"/>
      <c r="E1" s="46"/>
      <c r="F1" s="46"/>
      <c r="G1" s="37"/>
    </row>
    <row r="2" spans="1:11" ht="18" customHeight="1" x14ac:dyDescent="0.25">
      <c r="A2" s="45" t="str">
        <f>HeadingLine2</f>
        <v/>
      </c>
      <c r="B2" s="46"/>
      <c r="C2" s="46"/>
      <c r="D2" s="46"/>
      <c r="E2" s="46"/>
      <c r="F2" s="46"/>
      <c r="G2" s="37"/>
    </row>
    <row r="3" spans="1:11" ht="18" customHeight="1" x14ac:dyDescent="0.25">
      <c r="A3" s="45" t="str">
        <f>HeadingLine3</f>
        <v>PASTE DATA INTO THE 'PitRawData' TAB TO POPULATE THIS TEMPLATE.</v>
      </c>
      <c r="B3" s="46"/>
      <c r="C3" s="46"/>
      <c r="D3" s="46"/>
      <c r="E3" s="46"/>
      <c r="F3" s="46"/>
      <c r="G3" s="37"/>
    </row>
    <row r="4" spans="1:11" ht="18" customHeight="1" x14ac:dyDescent="0.25">
      <c r="A4" s="45" t="str">
        <f>HeadingLine4</f>
        <v/>
      </c>
      <c r="B4" s="46"/>
      <c r="C4" s="46"/>
      <c r="D4" s="46"/>
      <c r="E4" s="46"/>
      <c r="F4" s="46"/>
      <c r="G4" s="37"/>
    </row>
    <row r="5" spans="1:11" ht="18" customHeight="1" x14ac:dyDescent="0.25">
      <c r="A5" s="39"/>
      <c r="B5" s="36"/>
      <c r="C5" s="37"/>
      <c r="D5" s="37"/>
      <c r="E5" s="37"/>
      <c r="F5" s="37"/>
      <c r="G5" s="37"/>
    </row>
    <row r="6" spans="1:11" ht="18" customHeight="1" x14ac:dyDescent="0.3">
      <c r="A6" s="47" t="s">
        <v>684</v>
      </c>
      <c r="B6" s="37"/>
      <c r="C6" s="37"/>
      <c r="D6" s="37"/>
      <c r="E6" s="37"/>
      <c r="F6" s="37"/>
      <c r="G6" s="37"/>
    </row>
    <row r="7" spans="1:11" ht="15" customHeight="1" x14ac:dyDescent="0.25">
      <c r="A7" s="40"/>
      <c r="B7" s="37"/>
      <c r="C7" s="37"/>
      <c r="D7" s="37"/>
      <c r="E7" s="37"/>
      <c r="F7" s="37"/>
      <c r="G7" s="37"/>
    </row>
    <row r="8" spans="1:11" ht="21" customHeight="1" x14ac:dyDescent="0.25">
      <c r="B8" s="2" t="s">
        <v>4</v>
      </c>
      <c r="C8" s="2"/>
      <c r="D8" s="2"/>
      <c r="E8" s="3" t="s">
        <v>5</v>
      </c>
      <c r="F8" s="2" t="s">
        <v>2</v>
      </c>
      <c r="G8" s="22"/>
    </row>
    <row r="9" spans="1:11" ht="18" customHeight="1" x14ac:dyDescent="0.25">
      <c r="A9" s="48" t="s">
        <v>718</v>
      </c>
      <c r="B9" s="4" t="s">
        <v>0</v>
      </c>
      <c r="C9" s="4" t="s">
        <v>1</v>
      </c>
      <c r="D9" s="4" t="s">
        <v>719</v>
      </c>
      <c r="E9" s="2"/>
      <c r="F9" s="2"/>
      <c r="G9" s="38"/>
    </row>
    <row r="10" spans="1:11" ht="15" customHeight="1" x14ac:dyDescent="0.25">
      <c r="A10" s="7" t="s">
        <v>27</v>
      </c>
      <c r="B10" s="15" t="str">
        <f>IFERROR(INDEX(PitRawData!$A$1:$AMK$3,3,MATCH(H10,PitRawData!$A$1:$AMK$1,0)),"NO DATA")</f>
        <v>NO DATA</v>
      </c>
      <c r="C10" s="15" t="str">
        <f>IFERROR(INDEX(PitRawData!$A$1:$AMK$3,3,MATCH(I10,PitRawData!$A$1:$AMK$1,0)),"NO DATA")</f>
        <v>NO DATA</v>
      </c>
      <c r="D10" s="7" t="str">
        <f>IFERROR(INDEX(PitRawData!$A$1:$AMK$3,3,MATCH(J10,PitRawData!$A$1:$AMK$1,0)),"NO DATA")</f>
        <v>NO DATA</v>
      </c>
      <c r="E10" s="15" t="str">
        <f>IFERROR(INDEX(PitRawData!$A$1:$AMK$3,3,MATCH(K10,PitRawData!$A$1:$AMK$1,0)),"NO DATA")</f>
        <v>NO DATA</v>
      </c>
      <c r="F10" s="10">
        <f>SUM(B10:E10)</f>
        <v>0</v>
      </c>
      <c r="G10" s="38"/>
      <c r="H10" s="17" t="s">
        <v>434</v>
      </c>
      <c r="I10" s="17" t="s">
        <v>430</v>
      </c>
      <c r="J10" s="6" t="s">
        <v>426</v>
      </c>
      <c r="K10" s="17" t="s">
        <v>422</v>
      </c>
    </row>
    <row r="11" spans="1:11" ht="15" customHeight="1" x14ac:dyDescent="0.25">
      <c r="A11" s="7" t="s">
        <v>28</v>
      </c>
      <c r="B11" s="15" t="str">
        <f>IFERROR(INDEX(PitRawData!$A$1:$AMK$3,3,MATCH(H11,PitRawData!$A$1:$AMK$1,0)),"NO DATA")</f>
        <v>NO DATA</v>
      </c>
      <c r="C11" s="15" t="str">
        <f>IFERROR(INDEX(PitRawData!$A$1:$AMK$3,3,MATCH(I11,PitRawData!$A$1:$AMK$1,0)),"NO DATA")</f>
        <v>NO DATA</v>
      </c>
      <c r="D11" s="7" t="str">
        <f>IFERROR(INDEX(PitRawData!$A$1:$AMK$3,3,MATCH(J11,PitRawData!$A$1:$AMK$1,0)),"NO DATA")</f>
        <v>NO DATA</v>
      </c>
      <c r="E11" s="15" t="str">
        <f>IFERROR(INDEX(PitRawData!$A$1:$AMK$3,3,MATCH(K11,PitRawData!$A$1:$AMK$1,0)),"NO DATA")</f>
        <v>NO DATA</v>
      </c>
      <c r="F11" s="10">
        <f t="shared" ref="F11:F13" si="0">SUM(B11:E11)</f>
        <v>0</v>
      </c>
      <c r="G11" s="38"/>
      <c r="H11" s="17" t="s">
        <v>433</v>
      </c>
      <c r="I11" s="17" t="s">
        <v>429</v>
      </c>
      <c r="J11" s="17" t="s">
        <v>425</v>
      </c>
      <c r="K11" s="17" t="s">
        <v>421</v>
      </c>
    </row>
    <row r="12" spans="1:11" ht="15" customHeight="1" x14ac:dyDescent="0.25">
      <c r="A12" s="7" t="s">
        <v>29</v>
      </c>
      <c r="B12" s="15" t="str">
        <f>IFERROR(INDEX(PitRawData!$A$1:$AMK$3,3,MATCH(H12,PitRawData!$A$1:$AMK$1,0)),"NO DATA")</f>
        <v>NO DATA</v>
      </c>
      <c r="C12" s="15" t="str">
        <f>IFERROR(INDEX(PitRawData!$A$1:$AMK$3,3,MATCH(I12,PitRawData!$A$1:$AMK$1,0)),"NO DATA")</f>
        <v>NO DATA</v>
      </c>
      <c r="D12" s="7" t="str">
        <f>IFERROR(INDEX(PitRawData!$A$1:$AMK$3,3,MATCH(J12,PitRawData!$A$1:$AMK$1,0)),"NO DATA")</f>
        <v>NO DATA</v>
      </c>
      <c r="E12" s="15" t="str">
        <f>IFERROR(INDEX(PitRawData!$A$1:$AMK$3,3,MATCH(K12,PitRawData!$A$1:$AMK$1,0)),"NO DATA")</f>
        <v>NO DATA</v>
      </c>
      <c r="F12" s="10">
        <f t="shared" si="0"/>
        <v>0</v>
      </c>
      <c r="G12" s="38"/>
      <c r="H12" s="17" t="s">
        <v>432</v>
      </c>
      <c r="I12" s="17" t="s">
        <v>428</v>
      </c>
      <c r="J12" s="17" t="s">
        <v>424</v>
      </c>
      <c r="K12" s="17" t="s">
        <v>420</v>
      </c>
    </row>
    <row r="13" spans="1:11" ht="15" customHeight="1" x14ac:dyDescent="0.25">
      <c r="A13" s="7" t="s">
        <v>30</v>
      </c>
      <c r="B13" s="15" t="str">
        <f>IFERROR(INDEX(PitRawData!$A$1:$AMK$3,3,MATCH(H13,PitRawData!$A$1:$AMK$1,0)),"NO DATA")</f>
        <v>NO DATA</v>
      </c>
      <c r="C13" s="15" t="str">
        <f>IFERROR(INDEX(PitRawData!$A$1:$AMK$3,3,MATCH(I13,PitRawData!$A$1:$AMK$1,0)),"NO DATA")</f>
        <v>NO DATA</v>
      </c>
      <c r="D13" s="7" t="str">
        <f>IFERROR(INDEX(PitRawData!$A$1:$AMK$3,3,MATCH(J13,PitRawData!$A$1:$AMK$1,0)),"NO DATA")</f>
        <v>NO DATA</v>
      </c>
      <c r="E13" s="15" t="str">
        <f>IFERROR(INDEX(PitRawData!$A$1:$AMK$3,3,MATCH(K13,PitRawData!$A$1:$AMK$1,0)),"NO DATA")</f>
        <v>NO DATA</v>
      </c>
      <c r="F13" s="10">
        <f t="shared" si="0"/>
        <v>0</v>
      </c>
      <c r="H13" s="17" t="s">
        <v>431</v>
      </c>
      <c r="I13" s="17" t="s">
        <v>427</v>
      </c>
      <c r="J13" s="17" t="s">
        <v>423</v>
      </c>
      <c r="K13" s="17" t="s">
        <v>419</v>
      </c>
    </row>
    <row r="14" spans="1:11" ht="15" customHeight="1" x14ac:dyDescent="0.25"/>
    <row r="15" spans="1:11" hidden="1" x14ac:dyDescent="0.25">
      <c r="A15" s="19"/>
    </row>
  </sheetData>
  <sheetProtection algorithmName="SHA-512" hashValue="gkA6Qeofu+VIOgXZpSHjnttb6YWBPdjJCKxpyJYFlK0MxGcL6cemWu8axSUgrQ0dajQsBEAFg1BZC4EOcwD+Yw==" saltValue="6Bs/b63LXtjL2JKP1/0Vjw==" spinCount="100000" sheet="1" objects="1" scenarios="1"/>
  <conditionalFormatting sqref="A3:F3">
    <cfRule type="expression" dxfId="6" priority="1">
      <formula>$A$3="PASTE DATA INTO THE 'PitRawData' TAB TO POPULATE THIS TEMPLATE."</formula>
    </cfRule>
  </conditionalFormatting>
  <pageMargins left="0.25" right="0.2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1D15-7F4C-4140-9696-3D5073081EEA}">
  <sheetPr codeName="Sheet4"/>
  <dimension ref="A1:E671"/>
  <sheetViews>
    <sheetView zoomScaleNormal="100" workbookViewId="0">
      <selection activeCell="C8" sqref="C8"/>
    </sheetView>
  </sheetViews>
  <sheetFormatPr defaultRowHeight="15" x14ac:dyDescent="0.25"/>
  <cols>
    <col min="1" max="1" width="41.5703125" customWidth="1"/>
    <col min="2" max="2" width="32.7109375" customWidth="1"/>
    <col min="3" max="3" width="28.42578125" customWidth="1"/>
    <col min="4" max="4" width="69.42578125" customWidth="1"/>
    <col min="5" max="5" width="29.28515625" bestFit="1" customWidth="1"/>
  </cols>
  <sheetData>
    <row r="1" spans="1:4" x14ac:dyDescent="0.25">
      <c r="A1" t="s">
        <v>678</v>
      </c>
      <c r="B1" t="e">
        <f>INDEX(PitRawData!$A$1:$AMK$3,3,MATCH(A1,PitRawData!$A$1:$AMK$1,0))</f>
        <v>#N/A</v>
      </c>
    </row>
    <row r="2" spans="1:4" x14ac:dyDescent="0.25">
      <c r="A2" t="s">
        <v>679</v>
      </c>
      <c r="B2" t="e">
        <f>INDEX(PitRawData!$A$1:$AMK$3,3,MATCH(A2,PitRawData!$A$1:$AMK$1,0))</f>
        <v>#N/A</v>
      </c>
      <c r="D2" s="43" t="str">
        <f>IF(show_heading_section,CONCATENATE(HudNum,": ",CoC),"")</f>
        <v/>
      </c>
    </row>
    <row r="3" spans="1:4" x14ac:dyDescent="0.25">
      <c r="A3" t="s">
        <v>676</v>
      </c>
      <c r="B3" t="e">
        <f>INDEX(PitRawData!$A$1:$AMK$3,3,MATCH(A3,PitRawData!$A$1:$AMK$1,0))</f>
        <v>#N/A</v>
      </c>
      <c r="D3" s="43" t="str">
        <f>IF(show_heading_section,CONCATENATE("Date of PIT Count: ", TEXT(Date_of_Count,"m/d/yy")),"PASTE DATA INTO THE 'PitRawData' TAB TO POPULATE THIS TEMPLATE.")</f>
        <v>PASTE DATA INTO THE 'PitRawData' TAB TO POPULATE THIS TEMPLATE.</v>
      </c>
    </row>
    <row r="4" spans="1:4" x14ac:dyDescent="0.25">
      <c r="A4" t="s">
        <v>674</v>
      </c>
      <c r="B4" s="35" t="e">
        <f>INDEX(PitRawData!$A$1:$AMK$3,3,MATCH(A4,PitRawData!$A$1:$AMK$1,0))</f>
        <v>#N/A</v>
      </c>
      <c r="D4" s="43" t="str">
        <f>IF(show_heading_section,CONCATENATE("PIT Count Type: ",PIT_Count_Type),"")</f>
        <v/>
      </c>
    </row>
    <row r="5" spans="1:4" x14ac:dyDescent="0.25">
      <c r="A5" t="s">
        <v>673</v>
      </c>
      <c r="B5" s="35" t="e">
        <f>INDEX(PitRawData!$A$1:$AMK$3,3,MATCH(A5,PitRawData!$A$1:$AMK$1,0))</f>
        <v>#N/A</v>
      </c>
    </row>
    <row r="6" spans="1:4" x14ac:dyDescent="0.25">
      <c r="B6" s="35"/>
    </row>
    <row r="7" spans="1:4" x14ac:dyDescent="0.25">
      <c r="A7" s="44" t="s">
        <v>739</v>
      </c>
      <c r="B7" t="b">
        <f>IFERROR(AND(NOT(ISNA(B1)),NOT(ISNA(B2)),NOT(ISNA(B3)),NOT(ISNA(B4)),NOT(ISNA(B5))),FALSE)</f>
        <v>0</v>
      </c>
    </row>
    <row r="8" spans="1:4" x14ac:dyDescent="0.25">
      <c r="A8" s="44" t="s">
        <v>738</v>
      </c>
      <c r="B8" t="b">
        <f>IFERROR(AND(LEN(B1)&gt;0,LEN(B2)&gt;0,LEN(B3)&gt;0,LEN(B4)&gt;0,LEN(B5)&gt;0),FALSE)</f>
        <v>0</v>
      </c>
    </row>
    <row r="9" spans="1:4" x14ac:dyDescent="0.25">
      <c r="A9" s="44" t="s">
        <v>741</v>
      </c>
      <c r="B9" t="b">
        <f>AND(All_ref_fields_not_errors,all_ref_fields_have_text)</f>
        <v>0</v>
      </c>
    </row>
    <row r="11" spans="1:4" x14ac:dyDescent="0.25">
      <c r="A11" t="s">
        <v>729</v>
      </c>
      <c r="B11" t="s">
        <v>755</v>
      </c>
    </row>
    <row r="12" spans="1:4" x14ac:dyDescent="0.25">
      <c r="A12" t="s">
        <v>730</v>
      </c>
      <c r="B12" s="34">
        <v>45756.623611111114</v>
      </c>
    </row>
    <row r="14" spans="1:4" x14ac:dyDescent="0.25">
      <c r="A14" t="s">
        <v>733</v>
      </c>
      <c r="B14">
        <f>COUNTA(PitRawData!1:1)</f>
        <v>0</v>
      </c>
    </row>
    <row r="15" spans="1:4" x14ac:dyDescent="0.25">
      <c r="A15" t="s">
        <v>731</v>
      </c>
      <c r="B15">
        <v>650</v>
      </c>
    </row>
    <row r="16" spans="1:4" x14ac:dyDescent="0.25">
      <c r="A16" s="44" t="s">
        <v>735</v>
      </c>
      <c r="B16" t="b">
        <f>B14=B15</f>
        <v>0</v>
      </c>
    </row>
    <row r="18" spans="1:5" x14ac:dyDescent="0.25">
      <c r="A18" t="s">
        <v>732</v>
      </c>
      <c r="B18">
        <f>COUNTA(_xlfn.UNIQUE(PitRawData!1:1,TRUE,TRUE))</f>
        <v>1</v>
      </c>
    </row>
    <row r="19" spans="1:5" x14ac:dyDescent="0.25">
      <c r="A19" s="44" t="s">
        <v>734</v>
      </c>
      <c r="B19" t="b">
        <f>B18=B15</f>
        <v>0</v>
      </c>
    </row>
    <row r="21" spans="1:5" x14ac:dyDescent="0.25">
      <c r="A21" s="43" t="s">
        <v>740</v>
      </c>
      <c r="B21" s="43" t="s">
        <v>736</v>
      </c>
      <c r="C21" s="43" t="s">
        <v>737</v>
      </c>
      <c r="D21" s="43" t="s">
        <v>742</v>
      </c>
      <c r="E21" s="43" t="s">
        <v>743</v>
      </c>
    </row>
    <row r="22" spans="1:5" x14ac:dyDescent="0.25">
      <c r="A22" t="s">
        <v>680</v>
      </c>
      <c r="B22">
        <f>COUNTIF(PitRawData!$1:$1,DO_NOT_EDIT!A22)</f>
        <v>0</v>
      </c>
      <c r="C22" t="e">
        <f>MATCH(A22,PitRawData!$A$1:$AMK$1,0)</f>
        <v>#N/A</v>
      </c>
      <c r="D22" t="e">
        <f>INDEX(PitRawData!$A$1:$AMK$3,3,MATCH(DO_NOT_EDIT!A22,PitRawData!$A$1:$AMK$1,0))</f>
        <v>#N/A</v>
      </c>
      <c r="E22" t="s">
        <v>744</v>
      </c>
    </row>
    <row r="23" spans="1:5" x14ac:dyDescent="0.25">
      <c r="A23" t="s">
        <v>679</v>
      </c>
      <c r="B23">
        <f>COUNTIF(PitRawData!$1:$1,DO_NOT_EDIT!A23)</f>
        <v>0</v>
      </c>
      <c r="C23" t="e">
        <f>MATCH(A23,PitRawData!$A$1:$AMK$1,0)</f>
        <v>#N/A</v>
      </c>
      <c r="D23" t="e">
        <f>INDEX(PitRawData!$A$1:$AMK$3,3,MATCH(DO_NOT_EDIT!A23,PitRawData!$A$1:$AMK$1,0))</f>
        <v>#N/A</v>
      </c>
      <c r="E23" t="s">
        <v>744</v>
      </c>
    </row>
    <row r="24" spans="1:5" x14ac:dyDescent="0.25">
      <c r="A24" t="s">
        <v>678</v>
      </c>
      <c r="B24">
        <f>COUNTIF(PitRawData!$1:$1,DO_NOT_EDIT!A24)</f>
        <v>0</v>
      </c>
      <c r="C24" t="e">
        <f>MATCH(A24,PitRawData!$A$1:$AMK$1,0)</f>
        <v>#N/A</v>
      </c>
      <c r="D24" t="e">
        <f>INDEX(PitRawData!$A$1:$AMK$3,3,MATCH(DO_NOT_EDIT!A24,PitRawData!$A$1:$AMK$1,0))</f>
        <v>#N/A</v>
      </c>
      <c r="E24" t="s">
        <v>744</v>
      </c>
    </row>
    <row r="25" spans="1:5" x14ac:dyDescent="0.25">
      <c r="A25" t="s">
        <v>677</v>
      </c>
      <c r="B25">
        <f>COUNTIF(PitRawData!$1:$1,DO_NOT_EDIT!A25)</f>
        <v>0</v>
      </c>
      <c r="C25" t="e">
        <f>MATCH(A25,PitRawData!$A$1:$AMK$1,0)</f>
        <v>#N/A</v>
      </c>
      <c r="D25" t="e">
        <f>INDEX(PitRawData!$A$1:$AMK$3,3,MATCH(DO_NOT_EDIT!A25,PitRawData!$A$1:$AMK$1,0))</f>
        <v>#N/A</v>
      </c>
      <c r="E25" t="s">
        <v>744</v>
      </c>
    </row>
    <row r="26" spans="1:5" x14ac:dyDescent="0.25">
      <c r="A26" t="s">
        <v>676</v>
      </c>
      <c r="B26">
        <f>COUNTIF(PitRawData!$1:$1,DO_NOT_EDIT!A26)</f>
        <v>0</v>
      </c>
      <c r="C26" t="e">
        <f>MATCH(A26,PitRawData!$A$1:$AMK$1,0)</f>
        <v>#N/A</v>
      </c>
      <c r="D26" t="e">
        <f>INDEX(PitRawData!$A$1:$AMK$3,3,MATCH(DO_NOT_EDIT!A26,PitRawData!$A$1:$AMK$1,0))</f>
        <v>#N/A</v>
      </c>
      <c r="E26" t="s">
        <v>744</v>
      </c>
    </row>
    <row r="27" spans="1:5" x14ac:dyDescent="0.25">
      <c r="A27" t="s">
        <v>675</v>
      </c>
      <c r="B27">
        <f>COUNTIF(PitRawData!$1:$1,DO_NOT_EDIT!A27)</f>
        <v>0</v>
      </c>
      <c r="C27" t="e">
        <f>MATCH(A27,PitRawData!$A$1:$AMK$1,0)</f>
        <v>#N/A</v>
      </c>
      <c r="D27" t="e">
        <f>INDEX(PitRawData!$A$1:$AMK$3,3,MATCH(DO_NOT_EDIT!A27,PitRawData!$A$1:$AMK$1,0))</f>
        <v>#N/A</v>
      </c>
      <c r="E27" t="s">
        <v>744</v>
      </c>
    </row>
    <row r="28" spans="1:5" x14ac:dyDescent="0.25">
      <c r="A28" t="s">
        <v>674</v>
      </c>
      <c r="B28">
        <f>COUNTIF(PitRawData!$1:$1,DO_NOT_EDIT!A28)</f>
        <v>0</v>
      </c>
      <c r="C28" t="e">
        <f>MATCH(A28,PitRawData!$A$1:$AMK$1,0)</f>
        <v>#N/A</v>
      </c>
      <c r="D28" t="e">
        <f>INDEX(PitRawData!$A$1:$AMK$3,3,MATCH(DO_NOT_EDIT!A28,PitRawData!$A$1:$AMK$1,0))</f>
        <v>#N/A</v>
      </c>
      <c r="E28" t="s">
        <v>744</v>
      </c>
    </row>
    <row r="29" spans="1:5" x14ac:dyDescent="0.25">
      <c r="A29" t="s">
        <v>673</v>
      </c>
      <c r="B29">
        <f>COUNTIF(PitRawData!$1:$1,DO_NOT_EDIT!A29)</f>
        <v>0</v>
      </c>
      <c r="C29" t="e">
        <f>MATCH(A29,PitRawData!$A$1:$AMK$1,0)</f>
        <v>#N/A</v>
      </c>
      <c r="D29" t="e">
        <f>INDEX(PitRawData!$A$1:$AMK$3,3,MATCH(DO_NOT_EDIT!A29,PitRawData!$A$1:$AMK$1,0))</f>
        <v>#N/A</v>
      </c>
      <c r="E29" t="s">
        <v>744</v>
      </c>
    </row>
    <row r="30" spans="1:5" x14ac:dyDescent="0.25">
      <c r="A30" t="s">
        <v>32</v>
      </c>
      <c r="B30">
        <f>COUNTIF(PitRawData!$1:$1,DO_NOT_EDIT!A30)</f>
        <v>0</v>
      </c>
      <c r="C30" t="e">
        <f>MATCH(A30,PitRawData!$A$1:$AMK$1,0)</f>
        <v>#N/A</v>
      </c>
      <c r="D30" t="e">
        <f>INDEX(PitRawData!$A$1:$AMK$3,3,MATCH(DO_NOT_EDIT!A30,PitRawData!$A$1:$AMK$1,0))</f>
        <v>#N/A</v>
      </c>
      <c r="E30" t="s">
        <v>744</v>
      </c>
    </row>
    <row r="31" spans="1:5" x14ac:dyDescent="0.25">
      <c r="A31" t="s">
        <v>672</v>
      </c>
      <c r="B31">
        <f>COUNTIF(PitRawData!$1:$1,DO_NOT_EDIT!A31)</f>
        <v>0</v>
      </c>
      <c r="C31" t="e">
        <f>MATCH(A31,PitRawData!$A$1:$AMK$1,0)</f>
        <v>#N/A</v>
      </c>
      <c r="D31" t="e">
        <f>INDEX(PitRawData!$A$1:$AMK$3,3,MATCH(DO_NOT_EDIT!A31,PitRawData!$A$1:$AMK$1,0))</f>
        <v>#N/A</v>
      </c>
      <c r="E31" t="s">
        <v>745</v>
      </c>
    </row>
    <row r="32" spans="1:5" x14ac:dyDescent="0.25">
      <c r="A32" t="s">
        <v>647</v>
      </c>
      <c r="B32">
        <f>COUNTIF(PitRawData!$1:$1,DO_NOT_EDIT!A32)</f>
        <v>0</v>
      </c>
      <c r="C32" t="e">
        <f>MATCH(A32,PitRawData!$A$1:$AMK$1,0)</f>
        <v>#N/A</v>
      </c>
      <c r="D32" t="e">
        <f>INDEX(PitRawData!$A$1:$AMK$3,3,MATCH(DO_NOT_EDIT!A32,PitRawData!$A$1:$AMK$1,0))</f>
        <v>#N/A</v>
      </c>
      <c r="E32" t="s">
        <v>745</v>
      </c>
    </row>
    <row r="33" spans="1:5" x14ac:dyDescent="0.25">
      <c r="A33" t="s">
        <v>624</v>
      </c>
      <c r="B33">
        <f>COUNTIF(PitRawData!$1:$1,DO_NOT_EDIT!A33)</f>
        <v>0</v>
      </c>
      <c r="C33" t="e">
        <f>MATCH(A33,PitRawData!$A$1:$AMK$1,0)</f>
        <v>#N/A</v>
      </c>
      <c r="D33" t="e">
        <f>INDEX(PitRawData!$A$1:$AMK$3,3,MATCH(DO_NOT_EDIT!A33,PitRawData!$A$1:$AMK$1,0))</f>
        <v>#N/A</v>
      </c>
      <c r="E33" t="s">
        <v>745</v>
      </c>
    </row>
    <row r="34" spans="1:5" x14ac:dyDescent="0.25">
      <c r="A34" t="s">
        <v>671</v>
      </c>
      <c r="B34">
        <f>COUNTIF(PitRawData!$1:$1,DO_NOT_EDIT!A34)</f>
        <v>0</v>
      </c>
      <c r="C34" t="e">
        <f>MATCH(A34,PitRawData!$A$1:$AMK$1,0)</f>
        <v>#N/A</v>
      </c>
      <c r="D34" t="e">
        <f>INDEX(PitRawData!$A$1:$AMK$3,3,MATCH(DO_NOT_EDIT!A34,PitRawData!$A$1:$AMK$1,0))</f>
        <v>#N/A</v>
      </c>
      <c r="E34" t="s">
        <v>745</v>
      </c>
    </row>
    <row r="35" spans="1:5" x14ac:dyDescent="0.25">
      <c r="A35" t="s">
        <v>646</v>
      </c>
      <c r="B35">
        <f>COUNTIF(PitRawData!$1:$1,DO_NOT_EDIT!A35)</f>
        <v>0</v>
      </c>
      <c r="C35" t="e">
        <f>MATCH(A35,PitRawData!$A$1:$AMK$1,0)</f>
        <v>#N/A</v>
      </c>
      <c r="D35" t="e">
        <f>INDEX(PitRawData!$A$1:$AMK$3,3,MATCH(DO_NOT_EDIT!A35,PitRawData!$A$1:$AMK$1,0))</f>
        <v>#N/A</v>
      </c>
      <c r="E35" t="s">
        <v>745</v>
      </c>
    </row>
    <row r="36" spans="1:5" x14ac:dyDescent="0.25">
      <c r="A36" t="s">
        <v>623</v>
      </c>
      <c r="B36">
        <f>COUNTIF(PitRawData!$1:$1,DO_NOT_EDIT!A36)</f>
        <v>0</v>
      </c>
      <c r="C36" t="e">
        <f>MATCH(A36,PitRawData!$A$1:$AMK$1,0)</f>
        <v>#N/A</v>
      </c>
      <c r="D36" t="e">
        <f>INDEX(PitRawData!$A$1:$AMK$3,3,MATCH(DO_NOT_EDIT!A36,PitRawData!$A$1:$AMK$1,0))</f>
        <v>#N/A</v>
      </c>
      <c r="E36" t="s">
        <v>745</v>
      </c>
    </row>
    <row r="37" spans="1:5" x14ac:dyDescent="0.25">
      <c r="A37" t="s">
        <v>670</v>
      </c>
      <c r="B37">
        <f>COUNTIF(PitRawData!$1:$1,DO_NOT_EDIT!A37)</f>
        <v>0</v>
      </c>
      <c r="C37" t="e">
        <f>MATCH(A37,PitRawData!$A$1:$AMK$1,0)</f>
        <v>#N/A</v>
      </c>
      <c r="D37" t="e">
        <f>INDEX(PitRawData!$A$1:$AMK$3,3,MATCH(DO_NOT_EDIT!A37,PitRawData!$A$1:$AMK$1,0))</f>
        <v>#N/A</v>
      </c>
      <c r="E37" t="s">
        <v>745</v>
      </c>
    </row>
    <row r="38" spans="1:5" x14ac:dyDescent="0.25">
      <c r="A38" t="s">
        <v>645</v>
      </c>
      <c r="B38">
        <f>COUNTIF(PitRawData!$1:$1,DO_NOT_EDIT!A38)</f>
        <v>0</v>
      </c>
      <c r="C38" t="e">
        <f>MATCH(A38,PitRawData!$A$1:$AMK$1,0)</f>
        <v>#N/A</v>
      </c>
      <c r="D38" t="e">
        <f>INDEX(PitRawData!$A$1:$AMK$3,3,MATCH(DO_NOT_EDIT!A38,PitRawData!$A$1:$AMK$1,0))</f>
        <v>#N/A</v>
      </c>
      <c r="E38" t="s">
        <v>745</v>
      </c>
    </row>
    <row r="39" spans="1:5" x14ac:dyDescent="0.25">
      <c r="A39" t="s">
        <v>622</v>
      </c>
      <c r="B39">
        <f>COUNTIF(PitRawData!$1:$1,DO_NOT_EDIT!A39)</f>
        <v>0</v>
      </c>
      <c r="C39" t="e">
        <f>MATCH(A39,PitRawData!$A$1:$AMK$1,0)</f>
        <v>#N/A</v>
      </c>
      <c r="D39" t="e">
        <f>INDEX(PitRawData!$A$1:$AMK$3,3,MATCH(DO_NOT_EDIT!A39,PitRawData!$A$1:$AMK$1,0))</f>
        <v>#N/A</v>
      </c>
      <c r="E39" t="s">
        <v>745</v>
      </c>
    </row>
    <row r="40" spans="1:5" x14ac:dyDescent="0.25">
      <c r="A40" t="s">
        <v>669</v>
      </c>
      <c r="B40">
        <f>COUNTIF(PitRawData!$1:$1,DO_NOT_EDIT!A40)</f>
        <v>0</v>
      </c>
      <c r="C40" t="e">
        <f>MATCH(A40,PitRawData!$A$1:$AMK$1,0)</f>
        <v>#N/A</v>
      </c>
      <c r="D40" t="e">
        <f>INDEX(PitRawData!$A$1:$AMK$3,3,MATCH(DO_NOT_EDIT!A40,PitRawData!$A$1:$AMK$1,0))</f>
        <v>#N/A</v>
      </c>
      <c r="E40" t="s">
        <v>745</v>
      </c>
    </row>
    <row r="41" spans="1:5" x14ac:dyDescent="0.25">
      <c r="A41" t="s">
        <v>644</v>
      </c>
      <c r="B41">
        <f>COUNTIF(PitRawData!$1:$1,DO_NOT_EDIT!A41)</f>
        <v>0</v>
      </c>
      <c r="C41" t="e">
        <f>MATCH(A41,PitRawData!$A$1:$AMK$1,0)</f>
        <v>#N/A</v>
      </c>
      <c r="D41" t="e">
        <f>INDEX(PitRawData!$A$1:$AMK$3,3,MATCH(DO_NOT_EDIT!A41,PitRawData!$A$1:$AMK$1,0))</f>
        <v>#N/A</v>
      </c>
      <c r="E41" t="s">
        <v>745</v>
      </c>
    </row>
    <row r="42" spans="1:5" x14ac:dyDescent="0.25">
      <c r="A42" t="s">
        <v>621</v>
      </c>
      <c r="B42">
        <f>COUNTIF(PitRawData!$1:$1,DO_NOT_EDIT!A42)</f>
        <v>0</v>
      </c>
      <c r="C42" t="e">
        <f>MATCH(A42,PitRawData!$A$1:$AMK$1,0)</f>
        <v>#N/A</v>
      </c>
      <c r="D42" t="e">
        <f>INDEX(PitRawData!$A$1:$AMK$3,3,MATCH(DO_NOT_EDIT!A42,PitRawData!$A$1:$AMK$1,0))</f>
        <v>#N/A</v>
      </c>
      <c r="E42" t="s">
        <v>745</v>
      </c>
    </row>
    <row r="43" spans="1:5" x14ac:dyDescent="0.25">
      <c r="A43" t="s">
        <v>668</v>
      </c>
      <c r="B43">
        <f>COUNTIF(PitRawData!$1:$1,DO_NOT_EDIT!A43)</f>
        <v>0</v>
      </c>
      <c r="C43" t="e">
        <f>MATCH(A43,PitRawData!$A$1:$AMK$1,0)</f>
        <v>#N/A</v>
      </c>
      <c r="D43" t="e">
        <f>INDEX(PitRawData!$A$1:$AMK$3,3,MATCH(DO_NOT_EDIT!A43,PitRawData!$A$1:$AMK$1,0))</f>
        <v>#N/A</v>
      </c>
      <c r="E43" t="s">
        <v>745</v>
      </c>
    </row>
    <row r="44" spans="1:5" x14ac:dyDescent="0.25">
      <c r="A44" t="s">
        <v>643</v>
      </c>
      <c r="B44">
        <f>COUNTIF(PitRawData!$1:$1,DO_NOT_EDIT!A44)</f>
        <v>0</v>
      </c>
      <c r="C44" t="e">
        <f>MATCH(A44,PitRawData!$A$1:$AMK$1,0)</f>
        <v>#N/A</v>
      </c>
      <c r="D44" t="e">
        <f>INDEX(PitRawData!$A$1:$AMK$3,3,MATCH(DO_NOT_EDIT!A44,PitRawData!$A$1:$AMK$1,0))</f>
        <v>#N/A</v>
      </c>
      <c r="E44" t="s">
        <v>745</v>
      </c>
    </row>
    <row r="45" spans="1:5" x14ac:dyDescent="0.25">
      <c r="A45" t="s">
        <v>620</v>
      </c>
      <c r="B45">
        <f>COUNTIF(PitRawData!$1:$1,DO_NOT_EDIT!A45)</f>
        <v>0</v>
      </c>
      <c r="C45" t="e">
        <f>MATCH(A45,PitRawData!$A$1:$AMK$1,0)</f>
        <v>#N/A</v>
      </c>
      <c r="D45" t="e">
        <f>INDEX(PitRawData!$A$1:$AMK$3,3,MATCH(DO_NOT_EDIT!A45,PitRawData!$A$1:$AMK$1,0))</f>
        <v>#N/A</v>
      </c>
      <c r="E45" t="s">
        <v>745</v>
      </c>
    </row>
    <row r="46" spans="1:5" x14ac:dyDescent="0.25">
      <c r="A46" t="s">
        <v>667</v>
      </c>
      <c r="B46">
        <f>COUNTIF(PitRawData!$1:$1,DO_NOT_EDIT!A46)</f>
        <v>0</v>
      </c>
      <c r="C46" t="e">
        <f>MATCH(A46,PitRawData!$A$1:$AMK$1,0)</f>
        <v>#N/A</v>
      </c>
      <c r="D46" t="e">
        <f>INDEX(PitRawData!$A$1:$AMK$3,3,MATCH(DO_NOT_EDIT!A46,PitRawData!$A$1:$AMK$1,0))</f>
        <v>#N/A</v>
      </c>
      <c r="E46" t="s">
        <v>745</v>
      </c>
    </row>
    <row r="47" spans="1:5" x14ac:dyDescent="0.25">
      <c r="A47" t="s">
        <v>642</v>
      </c>
      <c r="B47">
        <f>COUNTIF(PitRawData!$1:$1,DO_NOT_EDIT!A47)</f>
        <v>0</v>
      </c>
      <c r="C47" t="e">
        <f>MATCH(A47,PitRawData!$A$1:$AMK$1,0)</f>
        <v>#N/A</v>
      </c>
      <c r="D47" t="e">
        <f>INDEX(PitRawData!$A$1:$AMK$3,3,MATCH(DO_NOT_EDIT!A47,PitRawData!$A$1:$AMK$1,0))</f>
        <v>#N/A</v>
      </c>
      <c r="E47" t="s">
        <v>745</v>
      </c>
    </row>
    <row r="48" spans="1:5" x14ac:dyDescent="0.25">
      <c r="A48" t="s">
        <v>619</v>
      </c>
      <c r="B48">
        <f>COUNTIF(PitRawData!$1:$1,DO_NOT_EDIT!A48)</f>
        <v>0</v>
      </c>
      <c r="C48" t="e">
        <f>MATCH(A48,PitRawData!$A$1:$AMK$1,0)</f>
        <v>#N/A</v>
      </c>
      <c r="D48" t="e">
        <f>INDEX(PitRawData!$A$1:$AMK$3,3,MATCH(DO_NOT_EDIT!A48,PitRawData!$A$1:$AMK$1,0))</f>
        <v>#N/A</v>
      </c>
      <c r="E48" t="s">
        <v>745</v>
      </c>
    </row>
    <row r="49" spans="1:5" x14ac:dyDescent="0.25">
      <c r="A49" t="s">
        <v>666</v>
      </c>
      <c r="B49">
        <f>COUNTIF(PitRawData!$1:$1,DO_NOT_EDIT!A49)</f>
        <v>0</v>
      </c>
      <c r="C49" t="e">
        <f>MATCH(A49,PitRawData!$A$1:$AMK$1,0)</f>
        <v>#N/A</v>
      </c>
      <c r="D49" t="e">
        <f>INDEX(PitRawData!$A$1:$AMK$3,3,MATCH(DO_NOT_EDIT!A49,PitRawData!$A$1:$AMK$1,0))</f>
        <v>#N/A</v>
      </c>
      <c r="E49" t="s">
        <v>745</v>
      </c>
    </row>
    <row r="50" spans="1:5" x14ac:dyDescent="0.25">
      <c r="A50" t="s">
        <v>641</v>
      </c>
      <c r="B50">
        <f>COUNTIF(PitRawData!$1:$1,DO_NOT_EDIT!A50)</f>
        <v>0</v>
      </c>
      <c r="C50" t="e">
        <f>MATCH(A50,PitRawData!$A$1:$AMK$1,0)</f>
        <v>#N/A</v>
      </c>
      <c r="D50" t="e">
        <f>INDEX(PitRawData!$A$1:$AMK$3,3,MATCH(DO_NOT_EDIT!A50,PitRawData!$A$1:$AMK$1,0))</f>
        <v>#N/A</v>
      </c>
      <c r="E50" t="s">
        <v>745</v>
      </c>
    </row>
    <row r="51" spans="1:5" x14ac:dyDescent="0.25">
      <c r="A51" t="s">
        <v>618</v>
      </c>
      <c r="B51">
        <f>COUNTIF(PitRawData!$1:$1,DO_NOT_EDIT!A51)</f>
        <v>0</v>
      </c>
      <c r="C51" t="e">
        <f>MATCH(A51,PitRawData!$A$1:$AMK$1,0)</f>
        <v>#N/A</v>
      </c>
      <c r="D51" t="e">
        <f>INDEX(PitRawData!$A$1:$AMK$3,3,MATCH(DO_NOT_EDIT!A51,PitRawData!$A$1:$AMK$1,0))</f>
        <v>#N/A</v>
      </c>
      <c r="E51" t="s">
        <v>745</v>
      </c>
    </row>
    <row r="52" spans="1:5" x14ac:dyDescent="0.25">
      <c r="A52" t="s">
        <v>665</v>
      </c>
      <c r="B52">
        <f>COUNTIF(PitRawData!$1:$1,DO_NOT_EDIT!A52)</f>
        <v>0</v>
      </c>
      <c r="C52" t="e">
        <f>MATCH(A52,PitRawData!$A$1:$AMK$1,0)</f>
        <v>#N/A</v>
      </c>
      <c r="D52" t="e">
        <f>INDEX(PitRawData!$A$1:$AMK$3,3,MATCH(DO_NOT_EDIT!A52,PitRawData!$A$1:$AMK$1,0))</f>
        <v>#N/A</v>
      </c>
      <c r="E52" t="s">
        <v>745</v>
      </c>
    </row>
    <row r="53" spans="1:5" x14ac:dyDescent="0.25">
      <c r="A53" t="s">
        <v>640</v>
      </c>
      <c r="B53">
        <f>COUNTIF(PitRawData!$1:$1,DO_NOT_EDIT!A53)</f>
        <v>0</v>
      </c>
      <c r="C53" t="e">
        <f>MATCH(A53,PitRawData!$A$1:$AMK$1,0)</f>
        <v>#N/A</v>
      </c>
      <c r="D53" t="e">
        <f>INDEX(PitRawData!$A$1:$AMK$3,3,MATCH(DO_NOT_EDIT!A53,PitRawData!$A$1:$AMK$1,0))</f>
        <v>#N/A</v>
      </c>
      <c r="E53" t="s">
        <v>745</v>
      </c>
    </row>
    <row r="54" spans="1:5" x14ac:dyDescent="0.25">
      <c r="A54" t="s">
        <v>617</v>
      </c>
      <c r="B54">
        <f>COUNTIF(PitRawData!$1:$1,DO_NOT_EDIT!A54)</f>
        <v>0</v>
      </c>
      <c r="C54" t="e">
        <f>MATCH(A54,PitRawData!$A$1:$AMK$1,0)</f>
        <v>#N/A</v>
      </c>
      <c r="D54" t="e">
        <f>INDEX(PitRawData!$A$1:$AMK$3,3,MATCH(DO_NOT_EDIT!A54,PitRawData!$A$1:$AMK$1,0))</f>
        <v>#N/A</v>
      </c>
      <c r="E54" t="s">
        <v>745</v>
      </c>
    </row>
    <row r="55" spans="1:5" x14ac:dyDescent="0.25">
      <c r="A55" t="s">
        <v>662</v>
      </c>
      <c r="B55">
        <f>COUNTIF(PitRawData!$1:$1,DO_NOT_EDIT!A55)</f>
        <v>0</v>
      </c>
      <c r="C55" t="e">
        <f>MATCH(A55,PitRawData!$A$1:$AMK$1,0)</f>
        <v>#N/A</v>
      </c>
      <c r="D55" t="e">
        <f>INDEX(PitRawData!$A$1:$AMK$3,3,MATCH(DO_NOT_EDIT!A55,PitRawData!$A$1:$AMK$1,0))</f>
        <v>#N/A</v>
      </c>
      <c r="E55" t="s">
        <v>745</v>
      </c>
    </row>
    <row r="56" spans="1:5" x14ac:dyDescent="0.25">
      <c r="A56" t="s">
        <v>637</v>
      </c>
      <c r="B56">
        <f>COUNTIF(PitRawData!$1:$1,DO_NOT_EDIT!A56)</f>
        <v>0</v>
      </c>
      <c r="C56" t="e">
        <f>MATCH(A56,PitRawData!$A$1:$AMK$1,0)</f>
        <v>#N/A</v>
      </c>
      <c r="D56" t="e">
        <f>INDEX(PitRawData!$A$1:$AMK$3,3,MATCH(DO_NOT_EDIT!A56,PitRawData!$A$1:$AMK$1,0))</f>
        <v>#N/A</v>
      </c>
      <c r="E56" t="s">
        <v>745</v>
      </c>
    </row>
    <row r="57" spans="1:5" x14ac:dyDescent="0.25">
      <c r="A57" t="s">
        <v>614</v>
      </c>
      <c r="B57">
        <f>COUNTIF(PitRawData!$1:$1,DO_NOT_EDIT!A57)</f>
        <v>0</v>
      </c>
      <c r="C57" t="e">
        <f>MATCH(A57,PitRawData!$A$1:$AMK$1,0)</f>
        <v>#N/A</v>
      </c>
      <c r="D57" t="e">
        <f>INDEX(PitRawData!$A$1:$AMK$3,3,MATCH(DO_NOT_EDIT!A57,PitRawData!$A$1:$AMK$1,0))</f>
        <v>#N/A</v>
      </c>
      <c r="E57" t="s">
        <v>745</v>
      </c>
    </row>
    <row r="58" spans="1:5" x14ac:dyDescent="0.25">
      <c r="A58" t="s">
        <v>663</v>
      </c>
      <c r="B58">
        <f>COUNTIF(PitRawData!$1:$1,DO_NOT_EDIT!A58)</f>
        <v>0</v>
      </c>
      <c r="C58" t="e">
        <f>MATCH(A58,PitRawData!$A$1:$AMK$1,0)</f>
        <v>#N/A</v>
      </c>
      <c r="D58" t="e">
        <f>INDEX(PitRawData!$A$1:$AMK$3,3,MATCH(DO_NOT_EDIT!A58,PitRawData!$A$1:$AMK$1,0))</f>
        <v>#N/A</v>
      </c>
      <c r="E58" t="s">
        <v>745</v>
      </c>
    </row>
    <row r="59" spans="1:5" x14ac:dyDescent="0.25">
      <c r="A59" t="s">
        <v>638</v>
      </c>
      <c r="B59">
        <f>COUNTIF(PitRawData!$1:$1,DO_NOT_EDIT!A59)</f>
        <v>0</v>
      </c>
      <c r="C59" t="e">
        <f>MATCH(A59,PitRawData!$A$1:$AMK$1,0)</f>
        <v>#N/A</v>
      </c>
      <c r="D59" t="e">
        <f>INDEX(PitRawData!$A$1:$AMK$3,3,MATCH(DO_NOT_EDIT!A59,PitRawData!$A$1:$AMK$1,0))</f>
        <v>#N/A</v>
      </c>
      <c r="E59" t="s">
        <v>745</v>
      </c>
    </row>
    <row r="60" spans="1:5" x14ac:dyDescent="0.25">
      <c r="A60" t="s">
        <v>615</v>
      </c>
      <c r="B60">
        <f>COUNTIF(PitRawData!$1:$1,DO_NOT_EDIT!A60)</f>
        <v>0</v>
      </c>
      <c r="C60" t="e">
        <f>MATCH(A60,PitRawData!$A$1:$AMK$1,0)</f>
        <v>#N/A</v>
      </c>
      <c r="D60" t="e">
        <f>INDEX(PitRawData!$A$1:$AMK$3,3,MATCH(DO_NOT_EDIT!A60,PitRawData!$A$1:$AMK$1,0))</f>
        <v>#N/A</v>
      </c>
      <c r="E60" t="s">
        <v>745</v>
      </c>
    </row>
    <row r="61" spans="1:5" x14ac:dyDescent="0.25">
      <c r="A61" t="s">
        <v>660</v>
      </c>
      <c r="B61">
        <f>COUNTIF(PitRawData!$1:$1,DO_NOT_EDIT!A61)</f>
        <v>0</v>
      </c>
      <c r="C61" t="e">
        <f>MATCH(A61,PitRawData!$A$1:$AMK$1,0)</f>
        <v>#N/A</v>
      </c>
      <c r="D61" t="e">
        <f>INDEX(PitRawData!$A$1:$AMK$3,3,MATCH(DO_NOT_EDIT!A61,PitRawData!$A$1:$AMK$1,0))</f>
        <v>#N/A</v>
      </c>
      <c r="E61" t="s">
        <v>745</v>
      </c>
    </row>
    <row r="62" spans="1:5" x14ac:dyDescent="0.25">
      <c r="A62" t="s">
        <v>635</v>
      </c>
      <c r="B62">
        <f>COUNTIF(PitRawData!$1:$1,DO_NOT_EDIT!A62)</f>
        <v>0</v>
      </c>
      <c r="C62" t="e">
        <f>MATCH(A62,PitRawData!$A$1:$AMK$1,0)</f>
        <v>#N/A</v>
      </c>
      <c r="D62" t="e">
        <f>INDEX(PitRawData!$A$1:$AMK$3,3,MATCH(DO_NOT_EDIT!A62,PitRawData!$A$1:$AMK$1,0))</f>
        <v>#N/A</v>
      </c>
      <c r="E62" t="s">
        <v>745</v>
      </c>
    </row>
    <row r="63" spans="1:5" x14ac:dyDescent="0.25">
      <c r="A63" t="s">
        <v>612</v>
      </c>
      <c r="B63">
        <f>COUNTIF(PitRawData!$1:$1,DO_NOT_EDIT!A63)</f>
        <v>0</v>
      </c>
      <c r="C63" t="e">
        <f>MATCH(A63,PitRawData!$A$1:$AMK$1,0)</f>
        <v>#N/A</v>
      </c>
      <c r="D63" t="e">
        <f>INDEX(PitRawData!$A$1:$AMK$3,3,MATCH(DO_NOT_EDIT!A63,PitRawData!$A$1:$AMK$1,0))</f>
        <v>#N/A</v>
      </c>
      <c r="E63" t="s">
        <v>745</v>
      </c>
    </row>
    <row r="64" spans="1:5" x14ac:dyDescent="0.25">
      <c r="A64" t="s">
        <v>661</v>
      </c>
      <c r="B64">
        <f>COUNTIF(PitRawData!$1:$1,DO_NOT_EDIT!A64)</f>
        <v>0</v>
      </c>
      <c r="C64" t="e">
        <f>MATCH(A64,PitRawData!$A$1:$AMK$1,0)</f>
        <v>#N/A</v>
      </c>
      <c r="D64" t="e">
        <f>INDEX(PitRawData!$A$1:$AMK$3,3,MATCH(DO_NOT_EDIT!A64,PitRawData!$A$1:$AMK$1,0))</f>
        <v>#N/A</v>
      </c>
      <c r="E64" t="s">
        <v>745</v>
      </c>
    </row>
    <row r="65" spans="1:5" x14ac:dyDescent="0.25">
      <c r="A65" t="s">
        <v>636</v>
      </c>
      <c r="B65">
        <f>COUNTIF(PitRawData!$1:$1,DO_NOT_EDIT!A65)</f>
        <v>0</v>
      </c>
      <c r="C65" t="e">
        <f>MATCH(A65,PitRawData!$A$1:$AMK$1,0)</f>
        <v>#N/A</v>
      </c>
      <c r="D65" t="e">
        <f>INDEX(PitRawData!$A$1:$AMK$3,3,MATCH(DO_NOT_EDIT!A65,PitRawData!$A$1:$AMK$1,0))</f>
        <v>#N/A</v>
      </c>
      <c r="E65" t="s">
        <v>745</v>
      </c>
    </row>
    <row r="66" spans="1:5" x14ac:dyDescent="0.25">
      <c r="A66" t="s">
        <v>613</v>
      </c>
      <c r="B66">
        <f>COUNTIF(PitRawData!$1:$1,DO_NOT_EDIT!A66)</f>
        <v>0</v>
      </c>
      <c r="C66" t="e">
        <f>MATCH(A66,PitRawData!$A$1:$AMK$1,0)</f>
        <v>#N/A</v>
      </c>
      <c r="D66" t="e">
        <f>INDEX(PitRawData!$A$1:$AMK$3,3,MATCH(DO_NOT_EDIT!A66,PitRawData!$A$1:$AMK$1,0))</f>
        <v>#N/A</v>
      </c>
      <c r="E66" t="s">
        <v>745</v>
      </c>
    </row>
    <row r="67" spans="1:5" x14ac:dyDescent="0.25">
      <c r="A67" t="s">
        <v>658</v>
      </c>
      <c r="B67">
        <f>COUNTIF(PitRawData!$1:$1,DO_NOT_EDIT!A67)</f>
        <v>0</v>
      </c>
      <c r="C67" t="e">
        <f>MATCH(A67,PitRawData!$A$1:$AMK$1,0)</f>
        <v>#N/A</v>
      </c>
      <c r="D67" t="e">
        <f>INDEX(PitRawData!$A$1:$AMK$3,3,MATCH(DO_NOT_EDIT!A67,PitRawData!$A$1:$AMK$1,0))</f>
        <v>#N/A</v>
      </c>
      <c r="E67" t="s">
        <v>745</v>
      </c>
    </row>
    <row r="68" spans="1:5" x14ac:dyDescent="0.25">
      <c r="A68" t="s">
        <v>633</v>
      </c>
      <c r="B68">
        <f>COUNTIF(PitRawData!$1:$1,DO_NOT_EDIT!A68)</f>
        <v>0</v>
      </c>
      <c r="C68" t="e">
        <f>MATCH(A68,PitRawData!$A$1:$AMK$1,0)</f>
        <v>#N/A</v>
      </c>
      <c r="D68" t="e">
        <f>INDEX(PitRawData!$A$1:$AMK$3,3,MATCH(DO_NOT_EDIT!A68,PitRawData!$A$1:$AMK$1,0))</f>
        <v>#N/A</v>
      </c>
      <c r="E68" t="s">
        <v>745</v>
      </c>
    </row>
    <row r="69" spans="1:5" x14ac:dyDescent="0.25">
      <c r="A69" t="s">
        <v>610</v>
      </c>
      <c r="B69">
        <f>COUNTIF(PitRawData!$1:$1,DO_NOT_EDIT!A69)</f>
        <v>0</v>
      </c>
      <c r="C69" t="e">
        <f>MATCH(A69,PitRawData!$A$1:$AMK$1,0)</f>
        <v>#N/A</v>
      </c>
      <c r="D69" t="e">
        <f>INDEX(PitRawData!$A$1:$AMK$3,3,MATCH(DO_NOT_EDIT!A69,PitRawData!$A$1:$AMK$1,0))</f>
        <v>#N/A</v>
      </c>
      <c r="E69" t="s">
        <v>745</v>
      </c>
    </row>
    <row r="70" spans="1:5" x14ac:dyDescent="0.25">
      <c r="A70" t="s">
        <v>659</v>
      </c>
      <c r="B70">
        <f>COUNTIF(PitRawData!$1:$1,DO_NOT_EDIT!A70)</f>
        <v>0</v>
      </c>
      <c r="C70" t="e">
        <f>MATCH(A70,PitRawData!$A$1:$AMK$1,0)</f>
        <v>#N/A</v>
      </c>
      <c r="D70" t="e">
        <f>INDEX(PitRawData!$A$1:$AMK$3,3,MATCH(DO_NOT_EDIT!A70,PitRawData!$A$1:$AMK$1,0))</f>
        <v>#N/A</v>
      </c>
      <c r="E70" t="s">
        <v>745</v>
      </c>
    </row>
    <row r="71" spans="1:5" x14ac:dyDescent="0.25">
      <c r="A71" t="s">
        <v>634</v>
      </c>
      <c r="B71">
        <f>COUNTIF(PitRawData!$1:$1,DO_NOT_EDIT!A71)</f>
        <v>0</v>
      </c>
      <c r="C71" t="e">
        <f>MATCH(A71,PitRawData!$A$1:$AMK$1,0)</f>
        <v>#N/A</v>
      </c>
      <c r="D71" t="e">
        <f>INDEX(PitRawData!$A$1:$AMK$3,3,MATCH(DO_NOT_EDIT!A71,PitRawData!$A$1:$AMK$1,0))</f>
        <v>#N/A</v>
      </c>
      <c r="E71" t="s">
        <v>745</v>
      </c>
    </row>
    <row r="72" spans="1:5" x14ac:dyDescent="0.25">
      <c r="A72" t="s">
        <v>611</v>
      </c>
      <c r="B72">
        <f>COUNTIF(PitRawData!$1:$1,DO_NOT_EDIT!A72)</f>
        <v>0</v>
      </c>
      <c r="C72" t="e">
        <f>MATCH(A72,PitRawData!$A$1:$AMK$1,0)</f>
        <v>#N/A</v>
      </c>
      <c r="D72" t="e">
        <f>INDEX(PitRawData!$A$1:$AMK$3,3,MATCH(DO_NOT_EDIT!A72,PitRawData!$A$1:$AMK$1,0))</f>
        <v>#N/A</v>
      </c>
      <c r="E72" t="s">
        <v>745</v>
      </c>
    </row>
    <row r="73" spans="1:5" x14ac:dyDescent="0.25">
      <c r="A73" t="s">
        <v>664</v>
      </c>
      <c r="B73">
        <f>COUNTIF(PitRawData!$1:$1,DO_NOT_EDIT!A73)</f>
        <v>0</v>
      </c>
      <c r="C73" t="e">
        <f>MATCH(A73,PitRawData!$A$1:$AMK$1,0)</f>
        <v>#N/A</v>
      </c>
      <c r="D73" t="e">
        <f>INDEX(PitRawData!$A$1:$AMK$3,3,MATCH(DO_NOT_EDIT!A73,PitRawData!$A$1:$AMK$1,0))</f>
        <v>#N/A</v>
      </c>
      <c r="E73" t="s">
        <v>745</v>
      </c>
    </row>
    <row r="74" spans="1:5" x14ac:dyDescent="0.25">
      <c r="A74" t="s">
        <v>639</v>
      </c>
      <c r="B74">
        <f>COUNTIF(PitRawData!$1:$1,DO_NOT_EDIT!A74)</f>
        <v>0</v>
      </c>
      <c r="C74" t="e">
        <f>MATCH(A74,PitRawData!$A$1:$AMK$1,0)</f>
        <v>#N/A</v>
      </c>
      <c r="D74" t="e">
        <f>INDEX(PitRawData!$A$1:$AMK$3,3,MATCH(DO_NOT_EDIT!A74,PitRawData!$A$1:$AMK$1,0))</f>
        <v>#N/A</v>
      </c>
      <c r="E74" t="s">
        <v>745</v>
      </c>
    </row>
    <row r="75" spans="1:5" x14ac:dyDescent="0.25">
      <c r="A75" t="s">
        <v>616</v>
      </c>
      <c r="B75">
        <f>COUNTIF(PitRawData!$1:$1,DO_NOT_EDIT!A75)</f>
        <v>0</v>
      </c>
      <c r="C75" t="e">
        <f>MATCH(A75,PitRawData!$A$1:$AMK$1,0)</f>
        <v>#N/A</v>
      </c>
      <c r="D75" t="e">
        <f>INDEX(PitRawData!$A$1:$AMK$3,3,MATCH(DO_NOT_EDIT!A75,PitRawData!$A$1:$AMK$1,0))</f>
        <v>#N/A</v>
      </c>
      <c r="E75" t="s">
        <v>745</v>
      </c>
    </row>
    <row r="76" spans="1:5" x14ac:dyDescent="0.25">
      <c r="A76" t="s">
        <v>656</v>
      </c>
      <c r="B76">
        <f>COUNTIF(PitRawData!$1:$1,DO_NOT_EDIT!A76)</f>
        <v>0</v>
      </c>
      <c r="C76" t="e">
        <f>MATCH(A76,PitRawData!$A$1:$AMK$1,0)</f>
        <v>#N/A</v>
      </c>
      <c r="D76" t="e">
        <f>INDEX(PitRawData!$A$1:$AMK$3,3,MATCH(DO_NOT_EDIT!A76,PitRawData!$A$1:$AMK$1,0))</f>
        <v>#N/A</v>
      </c>
      <c r="E76" t="s">
        <v>745</v>
      </c>
    </row>
    <row r="77" spans="1:5" x14ac:dyDescent="0.25">
      <c r="A77" t="s">
        <v>631</v>
      </c>
      <c r="B77">
        <f>COUNTIF(PitRawData!$1:$1,DO_NOT_EDIT!A77)</f>
        <v>0</v>
      </c>
      <c r="C77" t="e">
        <f>MATCH(A77,PitRawData!$A$1:$AMK$1,0)</f>
        <v>#N/A</v>
      </c>
      <c r="D77" t="e">
        <f>INDEX(PitRawData!$A$1:$AMK$3,3,MATCH(DO_NOT_EDIT!A77,PitRawData!$A$1:$AMK$1,0))</f>
        <v>#N/A</v>
      </c>
      <c r="E77" t="s">
        <v>745</v>
      </c>
    </row>
    <row r="78" spans="1:5" x14ac:dyDescent="0.25">
      <c r="A78" t="s">
        <v>608</v>
      </c>
      <c r="B78">
        <f>COUNTIF(PitRawData!$1:$1,DO_NOT_EDIT!A78)</f>
        <v>0</v>
      </c>
      <c r="C78" t="e">
        <f>MATCH(A78,PitRawData!$A$1:$AMK$1,0)</f>
        <v>#N/A</v>
      </c>
      <c r="D78" t="e">
        <f>INDEX(PitRawData!$A$1:$AMK$3,3,MATCH(DO_NOT_EDIT!A78,PitRawData!$A$1:$AMK$1,0))</f>
        <v>#N/A</v>
      </c>
      <c r="E78" t="s">
        <v>745</v>
      </c>
    </row>
    <row r="79" spans="1:5" x14ac:dyDescent="0.25">
      <c r="A79" t="s">
        <v>657</v>
      </c>
      <c r="B79">
        <f>COUNTIF(PitRawData!$1:$1,DO_NOT_EDIT!A79)</f>
        <v>0</v>
      </c>
      <c r="C79" t="e">
        <f>MATCH(A79,PitRawData!$A$1:$AMK$1,0)</f>
        <v>#N/A</v>
      </c>
      <c r="D79" t="e">
        <f>INDEX(PitRawData!$A$1:$AMK$3,3,MATCH(DO_NOT_EDIT!A79,PitRawData!$A$1:$AMK$1,0))</f>
        <v>#N/A</v>
      </c>
      <c r="E79" t="s">
        <v>745</v>
      </c>
    </row>
    <row r="80" spans="1:5" x14ac:dyDescent="0.25">
      <c r="A80" t="s">
        <v>632</v>
      </c>
      <c r="B80">
        <f>COUNTIF(PitRawData!$1:$1,DO_NOT_EDIT!A80)</f>
        <v>0</v>
      </c>
      <c r="C80" t="e">
        <f>MATCH(A80,PitRawData!$A$1:$AMK$1,0)</f>
        <v>#N/A</v>
      </c>
      <c r="D80" t="e">
        <f>INDEX(PitRawData!$A$1:$AMK$3,3,MATCH(DO_NOT_EDIT!A80,PitRawData!$A$1:$AMK$1,0))</f>
        <v>#N/A</v>
      </c>
      <c r="E80" t="s">
        <v>745</v>
      </c>
    </row>
    <row r="81" spans="1:5" x14ac:dyDescent="0.25">
      <c r="A81" t="s">
        <v>609</v>
      </c>
      <c r="B81">
        <f>COUNTIF(PitRawData!$1:$1,DO_NOT_EDIT!A81)</f>
        <v>0</v>
      </c>
      <c r="C81" t="e">
        <f>MATCH(A81,PitRawData!$A$1:$AMK$1,0)</f>
        <v>#N/A</v>
      </c>
      <c r="D81" t="e">
        <f>INDEX(PitRawData!$A$1:$AMK$3,3,MATCH(DO_NOT_EDIT!A81,PitRawData!$A$1:$AMK$1,0))</f>
        <v>#N/A</v>
      </c>
      <c r="E81" t="s">
        <v>745</v>
      </c>
    </row>
    <row r="82" spans="1:5" x14ac:dyDescent="0.25">
      <c r="A82" t="s">
        <v>652</v>
      </c>
      <c r="B82">
        <f>COUNTIF(PitRawData!$1:$1,DO_NOT_EDIT!A82)</f>
        <v>0</v>
      </c>
      <c r="C82" t="e">
        <f>MATCH(A82,PitRawData!$A$1:$AMK$1,0)</f>
        <v>#N/A</v>
      </c>
      <c r="D82" t="e">
        <f>INDEX(PitRawData!$A$1:$AMK$3,3,MATCH(DO_NOT_EDIT!A82,PitRawData!$A$1:$AMK$1,0))</f>
        <v>#N/A</v>
      </c>
      <c r="E82" t="s">
        <v>745</v>
      </c>
    </row>
    <row r="83" spans="1:5" x14ac:dyDescent="0.25">
      <c r="A83" t="s">
        <v>627</v>
      </c>
      <c r="B83">
        <f>COUNTIF(PitRawData!$1:$1,DO_NOT_EDIT!A83)</f>
        <v>0</v>
      </c>
      <c r="C83" t="e">
        <f>MATCH(A83,PitRawData!$A$1:$AMK$1,0)</f>
        <v>#N/A</v>
      </c>
      <c r="D83" t="e">
        <f>INDEX(PitRawData!$A$1:$AMK$3,3,MATCH(DO_NOT_EDIT!A83,PitRawData!$A$1:$AMK$1,0))</f>
        <v>#N/A</v>
      </c>
      <c r="E83" t="s">
        <v>745</v>
      </c>
    </row>
    <row r="84" spans="1:5" x14ac:dyDescent="0.25">
      <c r="A84" t="s">
        <v>604</v>
      </c>
      <c r="B84">
        <f>COUNTIF(PitRawData!$1:$1,DO_NOT_EDIT!A84)</f>
        <v>0</v>
      </c>
      <c r="C84" t="e">
        <f>MATCH(A84,PitRawData!$A$1:$AMK$1,0)</f>
        <v>#N/A</v>
      </c>
      <c r="D84" t="e">
        <f>INDEX(PitRawData!$A$1:$AMK$3,3,MATCH(DO_NOT_EDIT!A84,PitRawData!$A$1:$AMK$1,0))</f>
        <v>#N/A</v>
      </c>
      <c r="E84" t="s">
        <v>745</v>
      </c>
    </row>
    <row r="85" spans="1:5" x14ac:dyDescent="0.25">
      <c r="A85" t="s">
        <v>653</v>
      </c>
      <c r="B85">
        <f>COUNTIF(PitRawData!$1:$1,DO_NOT_EDIT!A85)</f>
        <v>0</v>
      </c>
      <c r="C85" t="e">
        <f>MATCH(A85,PitRawData!$A$1:$AMK$1,0)</f>
        <v>#N/A</v>
      </c>
      <c r="D85" t="e">
        <f>INDEX(PitRawData!$A$1:$AMK$3,3,MATCH(DO_NOT_EDIT!A85,PitRawData!$A$1:$AMK$1,0))</f>
        <v>#N/A</v>
      </c>
      <c r="E85" t="s">
        <v>745</v>
      </c>
    </row>
    <row r="86" spans="1:5" x14ac:dyDescent="0.25">
      <c r="A86" t="s">
        <v>628</v>
      </c>
      <c r="B86">
        <f>COUNTIF(PitRawData!$1:$1,DO_NOT_EDIT!A86)</f>
        <v>0</v>
      </c>
      <c r="C86" t="e">
        <f>MATCH(A86,PitRawData!$A$1:$AMK$1,0)</f>
        <v>#N/A</v>
      </c>
      <c r="D86" t="e">
        <f>INDEX(PitRawData!$A$1:$AMK$3,3,MATCH(DO_NOT_EDIT!A86,PitRawData!$A$1:$AMK$1,0))</f>
        <v>#N/A</v>
      </c>
      <c r="E86" t="s">
        <v>745</v>
      </c>
    </row>
    <row r="87" spans="1:5" x14ac:dyDescent="0.25">
      <c r="A87" t="s">
        <v>605</v>
      </c>
      <c r="B87">
        <f>COUNTIF(PitRawData!$1:$1,DO_NOT_EDIT!A87)</f>
        <v>0</v>
      </c>
      <c r="C87" t="e">
        <f>MATCH(A87,PitRawData!$A$1:$AMK$1,0)</f>
        <v>#N/A</v>
      </c>
      <c r="D87" t="e">
        <f>INDEX(PitRawData!$A$1:$AMK$3,3,MATCH(DO_NOT_EDIT!A87,PitRawData!$A$1:$AMK$1,0))</f>
        <v>#N/A</v>
      </c>
      <c r="E87" t="s">
        <v>745</v>
      </c>
    </row>
    <row r="88" spans="1:5" x14ac:dyDescent="0.25">
      <c r="A88" t="s">
        <v>650</v>
      </c>
      <c r="B88">
        <f>COUNTIF(PitRawData!$1:$1,DO_NOT_EDIT!A88)</f>
        <v>0</v>
      </c>
      <c r="C88" t="e">
        <f>MATCH(A88,PitRawData!$A$1:$AMK$1,0)</f>
        <v>#N/A</v>
      </c>
      <c r="D88" t="e">
        <f>INDEX(PitRawData!$A$1:$AMK$3,3,MATCH(DO_NOT_EDIT!A88,PitRawData!$A$1:$AMK$1,0))</f>
        <v>#N/A</v>
      </c>
      <c r="E88" t="s">
        <v>745</v>
      </c>
    </row>
    <row r="89" spans="1:5" x14ac:dyDescent="0.25">
      <c r="A89" t="s">
        <v>625</v>
      </c>
      <c r="B89">
        <f>COUNTIF(PitRawData!$1:$1,DO_NOT_EDIT!A89)</f>
        <v>0</v>
      </c>
      <c r="C89" t="e">
        <f>MATCH(A89,PitRawData!$A$1:$AMK$1,0)</f>
        <v>#N/A</v>
      </c>
      <c r="D89" t="e">
        <f>INDEX(PitRawData!$A$1:$AMK$3,3,MATCH(DO_NOT_EDIT!A89,PitRawData!$A$1:$AMK$1,0))</f>
        <v>#N/A</v>
      </c>
      <c r="E89" t="s">
        <v>745</v>
      </c>
    </row>
    <row r="90" spans="1:5" x14ac:dyDescent="0.25">
      <c r="A90" t="s">
        <v>602</v>
      </c>
      <c r="B90">
        <f>COUNTIF(PitRawData!$1:$1,DO_NOT_EDIT!A90)</f>
        <v>0</v>
      </c>
      <c r="C90" t="e">
        <f>MATCH(A90,PitRawData!$A$1:$AMK$1,0)</f>
        <v>#N/A</v>
      </c>
      <c r="D90" t="e">
        <f>INDEX(PitRawData!$A$1:$AMK$3,3,MATCH(DO_NOT_EDIT!A90,PitRawData!$A$1:$AMK$1,0))</f>
        <v>#N/A</v>
      </c>
      <c r="E90" t="s">
        <v>745</v>
      </c>
    </row>
    <row r="91" spans="1:5" x14ac:dyDescent="0.25">
      <c r="A91" t="s">
        <v>651</v>
      </c>
      <c r="B91">
        <f>COUNTIF(PitRawData!$1:$1,DO_NOT_EDIT!A91)</f>
        <v>0</v>
      </c>
      <c r="C91" t="e">
        <f>MATCH(A91,PitRawData!$A$1:$AMK$1,0)</f>
        <v>#N/A</v>
      </c>
      <c r="D91" t="e">
        <f>INDEX(PitRawData!$A$1:$AMK$3,3,MATCH(DO_NOT_EDIT!A91,PitRawData!$A$1:$AMK$1,0))</f>
        <v>#N/A</v>
      </c>
      <c r="E91" t="s">
        <v>745</v>
      </c>
    </row>
    <row r="92" spans="1:5" x14ac:dyDescent="0.25">
      <c r="A92" t="s">
        <v>626</v>
      </c>
      <c r="B92">
        <f>COUNTIF(PitRawData!$1:$1,DO_NOT_EDIT!A92)</f>
        <v>0</v>
      </c>
      <c r="C92" t="e">
        <f>MATCH(A92,PitRawData!$A$1:$AMK$1,0)</f>
        <v>#N/A</v>
      </c>
      <c r="D92" t="e">
        <f>INDEX(PitRawData!$A$1:$AMK$3,3,MATCH(DO_NOT_EDIT!A92,PitRawData!$A$1:$AMK$1,0))</f>
        <v>#N/A</v>
      </c>
      <c r="E92" t="s">
        <v>745</v>
      </c>
    </row>
    <row r="93" spans="1:5" x14ac:dyDescent="0.25">
      <c r="A93" t="s">
        <v>603</v>
      </c>
      <c r="B93">
        <f>COUNTIF(PitRawData!$1:$1,DO_NOT_EDIT!A93)</f>
        <v>0</v>
      </c>
      <c r="C93" t="e">
        <f>MATCH(A93,PitRawData!$A$1:$AMK$1,0)</f>
        <v>#N/A</v>
      </c>
      <c r="D93" t="e">
        <f>INDEX(PitRawData!$A$1:$AMK$3,3,MATCH(DO_NOT_EDIT!A93,PitRawData!$A$1:$AMK$1,0))</f>
        <v>#N/A</v>
      </c>
      <c r="E93" t="s">
        <v>745</v>
      </c>
    </row>
    <row r="94" spans="1:5" x14ac:dyDescent="0.25">
      <c r="A94" t="s">
        <v>655</v>
      </c>
      <c r="B94">
        <f>COUNTIF(PitRawData!$1:$1,DO_NOT_EDIT!A94)</f>
        <v>0</v>
      </c>
      <c r="C94" t="e">
        <f>MATCH(A94,PitRawData!$A$1:$AMK$1,0)</f>
        <v>#N/A</v>
      </c>
      <c r="D94" t="e">
        <f>INDEX(PitRawData!$A$1:$AMK$3,3,MATCH(DO_NOT_EDIT!A94,PitRawData!$A$1:$AMK$1,0))</f>
        <v>#N/A</v>
      </c>
      <c r="E94" t="s">
        <v>745</v>
      </c>
    </row>
    <row r="95" spans="1:5" x14ac:dyDescent="0.25">
      <c r="A95" t="s">
        <v>630</v>
      </c>
      <c r="B95">
        <f>COUNTIF(PitRawData!$1:$1,DO_NOT_EDIT!A95)</f>
        <v>0</v>
      </c>
      <c r="C95" t="e">
        <f>MATCH(A95,PitRawData!$A$1:$AMK$1,0)</f>
        <v>#N/A</v>
      </c>
      <c r="D95" t="e">
        <f>INDEX(PitRawData!$A$1:$AMK$3,3,MATCH(DO_NOT_EDIT!A95,PitRawData!$A$1:$AMK$1,0))</f>
        <v>#N/A</v>
      </c>
      <c r="E95" t="s">
        <v>745</v>
      </c>
    </row>
    <row r="96" spans="1:5" x14ac:dyDescent="0.25">
      <c r="A96" t="s">
        <v>607</v>
      </c>
      <c r="B96">
        <f>COUNTIF(PitRawData!$1:$1,DO_NOT_EDIT!A96)</f>
        <v>0</v>
      </c>
      <c r="C96" t="e">
        <f>MATCH(A96,PitRawData!$A$1:$AMK$1,0)</f>
        <v>#N/A</v>
      </c>
      <c r="D96" t="e">
        <f>INDEX(PitRawData!$A$1:$AMK$3,3,MATCH(DO_NOT_EDIT!A96,PitRawData!$A$1:$AMK$1,0))</f>
        <v>#N/A</v>
      </c>
      <c r="E96" t="s">
        <v>745</v>
      </c>
    </row>
    <row r="97" spans="1:5" x14ac:dyDescent="0.25">
      <c r="A97" t="s">
        <v>654</v>
      </c>
      <c r="B97">
        <f>COUNTIF(PitRawData!$1:$1,DO_NOT_EDIT!A97)</f>
        <v>0</v>
      </c>
      <c r="C97" t="e">
        <f>MATCH(A97,PitRawData!$A$1:$AMK$1,0)</f>
        <v>#N/A</v>
      </c>
      <c r="D97" t="e">
        <f>INDEX(PitRawData!$A$1:$AMK$3,3,MATCH(DO_NOT_EDIT!A97,PitRawData!$A$1:$AMK$1,0))</f>
        <v>#N/A</v>
      </c>
      <c r="E97" t="s">
        <v>745</v>
      </c>
    </row>
    <row r="98" spans="1:5" x14ac:dyDescent="0.25">
      <c r="A98" t="s">
        <v>629</v>
      </c>
      <c r="B98">
        <f>COUNTIF(PitRawData!$1:$1,DO_NOT_EDIT!A98)</f>
        <v>0</v>
      </c>
      <c r="C98" t="e">
        <f>MATCH(A98,PitRawData!$A$1:$AMK$1,0)</f>
        <v>#N/A</v>
      </c>
      <c r="D98" t="e">
        <f>INDEX(PitRawData!$A$1:$AMK$3,3,MATCH(DO_NOT_EDIT!A98,PitRawData!$A$1:$AMK$1,0))</f>
        <v>#N/A</v>
      </c>
      <c r="E98" t="s">
        <v>745</v>
      </c>
    </row>
    <row r="99" spans="1:5" x14ac:dyDescent="0.25">
      <c r="A99" t="s">
        <v>606</v>
      </c>
      <c r="B99">
        <f>COUNTIF(PitRawData!$1:$1,DO_NOT_EDIT!A99)</f>
        <v>0</v>
      </c>
      <c r="C99" t="e">
        <f>MATCH(A99,PitRawData!$A$1:$AMK$1,0)</f>
        <v>#N/A</v>
      </c>
      <c r="D99" t="e">
        <f>INDEX(PitRawData!$A$1:$AMK$3,3,MATCH(DO_NOT_EDIT!A99,PitRawData!$A$1:$AMK$1,0))</f>
        <v>#N/A</v>
      </c>
      <c r="E99" t="s">
        <v>745</v>
      </c>
    </row>
    <row r="100" spans="1:5" x14ac:dyDescent="0.25">
      <c r="A100" t="s">
        <v>649</v>
      </c>
      <c r="B100">
        <f>COUNTIF(PitRawData!$1:$1,DO_NOT_EDIT!A100)</f>
        <v>0</v>
      </c>
      <c r="C100" t="e">
        <f>MATCH(A100,PitRawData!$A$1:$AMK$1,0)</f>
        <v>#N/A</v>
      </c>
      <c r="D100" t="e">
        <f>INDEX(PitRawData!$A$1:$AMK$3,3,MATCH(DO_NOT_EDIT!A100,PitRawData!$A$1:$AMK$1,0))</f>
        <v>#N/A</v>
      </c>
      <c r="E100" t="s">
        <v>745</v>
      </c>
    </row>
    <row r="101" spans="1:5" x14ac:dyDescent="0.25">
      <c r="A101" t="s">
        <v>601</v>
      </c>
      <c r="B101">
        <f>COUNTIF(PitRawData!$1:$1,DO_NOT_EDIT!A101)</f>
        <v>0</v>
      </c>
      <c r="C101" t="e">
        <f>MATCH(A101,PitRawData!$A$1:$AMK$1,0)</f>
        <v>#N/A</v>
      </c>
      <c r="D101" t="e">
        <f>INDEX(PitRawData!$A$1:$AMK$3,3,MATCH(DO_NOT_EDIT!A101,PitRawData!$A$1:$AMK$1,0))</f>
        <v>#N/A</v>
      </c>
      <c r="E101" t="s">
        <v>745</v>
      </c>
    </row>
    <row r="102" spans="1:5" x14ac:dyDescent="0.25">
      <c r="A102" t="s">
        <v>648</v>
      </c>
      <c r="B102">
        <f>COUNTIF(PitRawData!$1:$1,DO_NOT_EDIT!A102)</f>
        <v>0</v>
      </c>
      <c r="C102" t="e">
        <f>MATCH(A102,PitRawData!$A$1:$AMK$1,0)</f>
        <v>#N/A</v>
      </c>
      <c r="D102" t="e">
        <f>INDEX(PitRawData!$A$1:$AMK$3,3,MATCH(DO_NOT_EDIT!A102,PitRawData!$A$1:$AMK$1,0))</f>
        <v>#N/A</v>
      </c>
      <c r="E102" t="s">
        <v>745</v>
      </c>
    </row>
    <row r="103" spans="1:5" x14ac:dyDescent="0.25">
      <c r="A103" t="s">
        <v>600</v>
      </c>
      <c r="B103">
        <f>COUNTIF(PitRawData!$1:$1,DO_NOT_EDIT!A103)</f>
        <v>0</v>
      </c>
      <c r="C103" t="e">
        <f>MATCH(A103,PitRawData!$A$1:$AMK$1,0)</f>
        <v>#N/A</v>
      </c>
      <c r="D103" t="e">
        <f>INDEX(PitRawData!$A$1:$AMK$3,3,MATCH(DO_NOT_EDIT!A103,PitRawData!$A$1:$AMK$1,0))</f>
        <v>#N/A</v>
      </c>
      <c r="E103" t="s">
        <v>745</v>
      </c>
    </row>
    <row r="104" spans="1:5" x14ac:dyDescent="0.25">
      <c r="A104" t="s">
        <v>598</v>
      </c>
      <c r="B104">
        <f>COUNTIF(PitRawData!$1:$1,DO_NOT_EDIT!A104)</f>
        <v>0</v>
      </c>
      <c r="C104" t="e">
        <f>MATCH(A104,PitRawData!$A$1:$AMK$1,0)</f>
        <v>#N/A</v>
      </c>
      <c r="D104" t="e">
        <f>INDEX(PitRawData!$A$1:$AMK$3,3,MATCH(DO_NOT_EDIT!A104,PitRawData!$A$1:$AMK$1,0))</f>
        <v>#N/A</v>
      </c>
      <c r="E104" t="s">
        <v>746</v>
      </c>
    </row>
    <row r="105" spans="1:5" x14ac:dyDescent="0.25">
      <c r="A105" t="s">
        <v>580</v>
      </c>
      <c r="B105">
        <f>COUNTIF(PitRawData!$1:$1,DO_NOT_EDIT!A105)</f>
        <v>0</v>
      </c>
      <c r="C105" t="e">
        <f>MATCH(A105,PitRawData!$A$1:$AMK$1,0)</f>
        <v>#N/A</v>
      </c>
      <c r="D105" t="e">
        <f>INDEX(PitRawData!$A$1:$AMK$3,3,MATCH(DO_NOT_EDIT!A105,PitRawData!$A$1:$AMK$1,0))</f>
        <v>#N/A</v>
      </c>
      <c r="E105" t="s">
        <v>746</v>
      </c>
    </row>
    <row r="106" spans="1:5" x14ac:dyDescent="0.25">
      <c r="A106" t="s">
        <v>563</v>
      </c>
      <c r="B106">
        <f>COUNTIF(PitRawData!$1:$1,DO_NOT_EDIT!A106)</f>
        <v>0</v>
      </c>
      <c r="C106" t="e">
        <f>MATCH(A106,PitRawData!$A$1:$AMK$1,0)</f>
        <v>#N/A</v>
      </c>
      <c r="D106" t="e">
        <f>INDEX(PitRawData!$A$1:$AMK$3,3,MATCH(DO_NOT_EDIT!A106,PitRawData!$A$1:$AMK$1,0))</f>
        <v>#N/A</v>
      </c>
      <c r="E106" t="s">
        <v>746</v>
      </c>
    </row>
    <row r="107" spans="1:5" x14ac:dyDescent="0.25">
      <c r="A107" t="s">
        <v>545</v>
      </c>
      <c r="B107">
        <f>COUNTIF(PitRawData!$1:$1,DO_NOT_EDIT!A107)</f>
        <v>0</v>
      </c>
      <c r="C107" t="e">
        <f>MATCH(A107,PitRawData!$A$1:$AMK$1,0)</f>
        <v>#N/A</v>
      </c>
      <c r="D107" t="e">
        <f>INDEX(PitRawData!$A$1:$AMK$3,3,MATCH(DO_NOT_EDIT!A107,PitRawData!$A$1:$AMK$1,0))</f>
        <v>#N/A</v>
      </c>
      <c r="E107" t="s">
        <v>746</v>
      </c>
    </row>
    <row r="108" spans="1:5" x14ac:dyDescent="0.25">
      <c r="A108" t="s">
        <v>597</v>
      </c>
      <c r="B108">
        <f>COUNTIF(PitRawData!$1:$1,DO_NOT_EDIT!A108)</f>
        <v>0</v>
      </c>
      <c r="C108" t="e">
        <f>MATCH(A108,PitRawData!$A$1:$AMK$1,0)</f>
        <v>#N/A</v>
      </c>
      <c r="D108" t="e">
        <f>INDEX(PitRawData!$A$1:$AMK$3,3,MATCH(DO_NOT_EDIT!A108,PitRawData!$A$1:$AMK$1,0))</f>
        <v>#N/A</v>
      </c>
      <c r="E108" t="s">
        <v>746</v>
      </c>
    </row>
    <row r="109" spans="1:5" x14ac:dyDescent="0.25">
      <c r="A109" t="s">
        <v>579</v>
      </c>
      <c r="B109">
        <f>COUNTIF(PitRawData!$1:$1,DO_NOT_EDIT!A109)</f>
        <v>0</v>
      </c>
      <c r="C109" t="e">
        <f>MATCH(A109,PitRawData!$A$1:$AMK$1,0)</f>
        <v>#N/A</v>
      </c>
      <c r="D109" t="e">
        <f>INDEX(PitRawData!$A$1:$AMK$3,3,MATCH(DO_NOT_EDIT!A109,PitRawData!$A$1:$AMK$1,0))</f>
        <v>#N/A</v>
      </c>
      <c r="E109" t="s">
        <v>746</v>
      </c>
    </row>
    <row r="110" spans="1:5" x14ac:dyDescent="0.25">
      <c r="A110" t="s">
        <v>562</v>
      </c>
      <c r="B110">
        <f>COUNTIF(PitRawData!$1:$1,DO_NOT_EDIT!A110)</f>
        <v>0</v>
      </c>
      <c r="C110" t="e">
        <f>MATCH(A110,PitRawData!$A$1:$AMK$1,0)</f>
        <v>#N/A</v>
      </c>
      <c r="D110" t="e">
        <f>INDEX(PitRawData!$A$1:$AMK$3,3,MATCH(DO_NOT_EDIT!A110,PitRawData!$A$1:$AMK$1,0))</f>
        <v>#N/A</v>
      </c>
      <c r="E110" t="s">
        <v>746</v>
      </c>
    </row>
    <row r="111" spans="1:5" x14ac:dyDescent="0.25">
      <c r="A111" t="s">
        <v>544</v>
      </c>
      <c r="B111">
        <f>COUNTIF(PitRawData!$1:$1,DO_NOT_EDIT!A111)</f>
        <v>0</v>
      </c>
      <c r="C111" t="e">
        <f>MATCH(A111,PitRawData!$A$1:$AMK$1,0)</f>
        <v>#N/A</v>
      </c>
      <c r="D111" t="e">
        <f>INDEX(PitRawData!$A$1:$AMK$3,3,MATCH(DO_NOT_EDIT!A111,PitRawData!$A$1:$AMK$1,0))</f>
        <v>#N/A</v>
      </c>
      <c r="E111" t="s">
        <v>746</v>
      </c>
    </row>
    <row r="112" spans="1:5" x14ac:dyDescent="0.25">
      <c r="A112" t="s">
        <v>594</v>
      </c>
      <c r="B112">
        <f>COUNTIF(PitRawData!$1:$1,DO_NOT_EDIT!A112)</f>
        <v>0</v>
      </c>
      <c r="C112" t="e">
        <f>MATCH(A112,PitRawData!$A$1:$AMK$1,0)</f>
        <v>#N/A</v>
      </c>
      <c r="D112" t="e">
        <f>INDEX(PitRawData!$A$1:$AMK$3,3,MATCH(DO_NOT_EDIT!A112,PitRawData!$A$1:$AMK$1,0))</f>
        <v>#N/A</v>
      </c>
      <c r="E112" t="s">
        <v>746</v>
      </c>
    </row>
    <row r="113" spans="1:5" x14ac:dyDescent="0.25">
      <c r="A113" t="s">
        <v>576</v>
      </c>
      <c r="B113">
        <f>COUNTIF(PitRawData!$1:$1,DO_NOT_EDIT!A113)</f>
        <v>0</v>
      </c>
      <c r="C113" t="e">
        <f>MATCH(A113,PitRawData!$A$1:$AMK$1,0)</f>
        <v>#N/A</v>
      </c>
      <c r="D113" t="e">
        <f>INDEX(PitRawData!$A$1:$AMK$3,3,MATCH(DO_NOT_EDIT!A113,PitRawData!$A$1:$AMK$1,0))</f>
        <v>#N/A</v>
      </c>
      <c r="E113" t="s">
        <v>746</v>
      </c>
    </row>
    <row r="114" spans="1:5" x14ac:dyDescent="0.25">
      <c r="A114" t="s">
        <v>559</v>
      </c>
      <c r="B114">
        <f>COUNTIF(PitRawData!$1:$1,DO_NOT_EDIT!A114)</f>
        <v>0</v>
      </c>
      <c r="C114" t="e">
        <f>MATCH(A114,PitRawData!$A$1:$AMK$1,0)</f>
        <v>#N/A</v>
      </c>
      <c r="D114" t="e">
        <f>INDEX(PitRawData!$A$1:$AMK$3,3,MATCH(DO_NOT_EDIT!A114,PitRawData!$A$1:$AMK$1,0))</f>
        <v>#N/A</v>
      </c>
      <c r="E114" t="s">
        <v>746</v>
      </c>
    </row>
    <row r="115" spans="1:5" x14ac:dyDescent="0.25">
      <c r="A115" t="s">
        <v>541</v>
      </c>
      <c r="B115">
        <f>COUNTIF(PitRawData!$1:$1,DO_NOT_EDIT!A115)</f>
        <v>0</v>
      </c>
      <c r="C115" t="e">
        <f>MATCH(A115,PitRawData!$A$1:$AMK$1,0)</f>
        <v>#N/A</v>
      </c>
      <c r="D115" t="e">
        <f>INDEX(PitRawData!$A$1:$AMK$3,3,MATCH(DO_NOT_EDIT!A115,PitRawData!$A$1:$AMK$1,0))</f>
        <v>#N/A</v>
      </c>
      <c r="E115" t="s">
        <v>746</v>
      </c>
    </row>
    <row r="116" spans="1:5" x14ac:dyDescent="0.25">
      <c r="A116" t="s">
        <v>595</v>
      </c>
      <c r="B116">
        <f>COUNTIF(PitRawData!$1:$1,DO_NOT_EDIT!A116)</f>
        <v>0</v>
      </c>
      <c r="C116" t="e">
        <f>MATCH(A116,PitRawData!$A$1:$AMK$1,0)</f>
        <v>#N/A</v>
      </c>
      <c r="D116" t="e">
        <f>INDEX(PitRawData!$A$1:$AMK$3,3,MATCH(DO_NOT_EDIT!A116,PitRawData!$A$1:$AMK$1,0))</f>
        <v>#N/A</v>
      </c>
      <c r="E116" t="s">
        <v>746</v>
      </c>
    </row>
    <row r="117" spans="1:5" x14ac:dyDescent="0.25">
      <c r="A117" t="s">
        <v>577</v>
      </c>
      <c r="B117">
        <f>COUNTIF(PitRawData!$1:$1,DO_NOT_EDIT!A117)</f>
        <v>0</v>
      </c>
      <c r="C117" t="e">
        <f>MATCH(A117,PitRawData!$A$1:$AMK$1,0)</f>
        <v>#N/A</v>
      </c>
      <c r="D117" t="e">
        <f>INDEX(PitRawData!$A$1:$AMK$3,3,MATCH(DO_NOT_EDIT!A117,PitRawData!$A$1:$AMK$1,0))</f>
        <v>#N/A</v>
      </c>
      <c r="E117" t="s">
        <v>746</v>
      </c>
    </row>
    <row r="118" spans="1:5" x14ac:dyDescent="0.25">
      <c r="A118" t="s">
        <v>560</v>
      </c>
      <c r="B118">
        <f>COUNTIF(PitRawData!$1:$1,DO_NOT_EDIT!A118)</f>
        <v>0</v>
      </c>
      <c r="C118" t="e">
        <f>MATCH(A118,PitRawData!$A$1:$AMK$1,0)</f>
        <v>#N/A</v>
      </c>
      <c r="D118" t="e">
        <f>INDEX(PitRawData!$A$1:$AMK$3,3,MATCH(DO_NOT_EDIT!A118,PitRawData!$A$1:$AMK$1,0))</f>
        <v>#N/A</v>
      </c>
      <c r="E118" t="s">
        <v>746</v>
      </c>
    </row>
    <row r="119" spans="1:5" x14ac:dyDescent="0.25">
      <c r="A119" t="s">
        <v>542</v>
      </c>
      <c r="B119">
        <f>COUNTIF(PitRawData!$1:$1,DO_NOT_EDIT!A119)</f>
        <v>0</v>
      </c>
      <c r="C119" t="e">
        <f>MATCH(A119,PitRawData!$A$1:$AMK$1,0)</f>
        <v>#N/A</v>
      </c>
      <c r="D119" t="e">
        <f>INDEX(PitRawData!$A$1:$AMK$3,3,MATCH(DO_NOT_EDIT!A119,PitRawData!$A$1:$AMK$1,0))</f>
        <v>#N/A</v>
      </c>
      <c r="E119" t="s">
        <v>746</v>
      </c>
    </row>
    <row r="120" spans="1:5" x14ac:dyDescent="0.25">
      <c r="A120" t="s">
        <v>592</v>
      </c>
      <c r="B120">
        <f>COUNTIF(PitRawData!$1:$1,DO_NOT_EDIT!A120)</f>
        <v>0</v>
      </c>
      <c r="C120" t="e">
        <f>MATCH(A120,PitRawData!$A$1:$AMK$1,0)</f>
        <v>#N/A</v>
      </c>
      <c r="D120" t="e">
        <f>INDEX(PitRawData!$A$1:$AMK$3,3,MATCH(DO_NOT_EDIT!A120,PitRawData!$A$1:$AMK$1,0))</f>
        <v>#N/A</v>
      </c>
      <c r="E120" t="s">
        <v>746</v>
      </c>
    </row>
    <row r="121" spans="1:5" x14ac:dyDescent="0.25">
      <c r="A121" t="s">
        <v>574</v>
      </c>
      <c r="B121">
        <f>COUNTIF(PitRawData!$1:$1,DO_NOT_EDIT!A121)</f>
        <v>0</v>
      </c>
      <c r="C121" t="e">
        <f>MATCH(A121,PitRawData!$A$1:$AMK$1,0)</f>
        <v>#N/A</v>
      </c>
      <c r="D121" t="e">
        <f>INDEX(PitRawData!$A$1:$AMK$3,3,MATCH(DO_NOT_EDIT!A121,PitRawData!$A$1:$AMK$1,0))</f>
        <v>#N/A</v>
      </c>
      <c r="E121" t="s">
        <v>746</v>
      </c>
    </row>
    <row r="122" spans="1:5" x14ac:dyDescent="0.25">
      <c r="A122" t="s">
        <v>557</v>
      </c>
      <c r="B122">
        <f>COUNTIF(PitRawData!$1:$1,DO_NOT_EDIT!A122)</f>
        <v>0</v>
      </c>
      <c r="C122" t="e">
        <f>MATCH(A122,PitRawData!$A$1:$AMK$1,0)</f>
        <v>#N/A</v>
      </c>
      <c r="D122" t="e">
        <f>INDEX(PitRawData!$A$1:$AMK$3,3,MATCH(DO_NOT_EDIT!A122,PitRawData!$A$1:$AMK$1,0))</f>
        <v>#N/A</v>
      </c>
      <c r="E122" t="s">
        <v>746</v>
      </c>
    </row>
    <row r="123" spans="1:5" x14ac:dyDescent="0.25">
      <c r="A123" t="s">
        <v>539</v>
      </c>
      <c r="B123">
        <f>COUNTIF(PitRawData!$1:$1,DO_NOT_EDIT!A123)</f>
        <v>0</v>
      </c>
      <c r="C123" t="e">
        <f>MATCH(A123,PitRawData!$A$1:$AMK$1,0)</f>
        <v>#N/A</v>
      </c>
      <c r="D123" t="e">
        <f>INDEX(PitRawData!$A$1:$AMK$3,3,MATCH(DO_NOT_EDIT!A123,PitRawData!$A$1:$AMK$1,0))</f>
        <v>#N/A</v>
      </c>
      <c r="E123" t="s">
        <v>746</v>
      </c>
    </row>
    <row r="124" spans="1:5" x14ac:dyDescent="0.25">
      <c r="A124" t="s">
        <v>593</v>
      </c>
      <c r="B124">
        <f>COUNTIF(PitRawData!$1:$1,DO_NOT_EDIT!A124)</f>
        <v>0</v>
      </c>
      <c r="C124" t="e">
        <f>MATCH(A124,PitRawData!$A$1:$AMK$1,0)</f>
        <v>#N/A</v>
      </c>
      <c r="D124" t="e">
        <f>INDEX(PitRawData!$A$1:$AMK$3,3,MATCH(DO_NOT_EDIT!A124,PitRawData!$A$1:$AMK$1,0))</f>
        <v>#N/A</v>
      </c>
      <c r="E124" t="s">
        <v>746</v>
      </c>
    </row>
    <row r="125" spans="1:5" x14ac:dyDescent="0.25">
      <c r="A125" t="s">
        <v>575</v>
      </c>
      <c r="B125">
        <f>COUNTIF(PitRawData!$1:$1,DO_NOT_EDIT!A125)</f>
        <v>0</v>
      </c>
      <c r="C125" t="e">
        <f>MATCH(A125,PitRawData!$A$1:$AMK$1,0)</f>
        <v>#N/A</v>
      </c>
      <c r="D125" t="e">
        <f>INDEX(PitRawData!$A$1:$AMK$3,3,MATCH(DO_NOT_EDIT!A125,PitRawData!$A$1:$AMK$1,0))</f>
        <v>#N/A</v>
      </c>
      <c r="E125" t="s">
        <v>746</v>
      </c>
    </row>
    <row r="126" spans="1:5" x14ac:dyDescent="0.25">
      <c r="A126" t="s">
        <v>558</v>
      </c>
      <c r="B126">
        <f>COUNTIF(PitRawData!$1:$1,DO_NOT_EDIT!A126)</f>
        <v>0</v>
      </c>
      <c r="C126" t="e">
        <f>MATCH(A126,PitRawData!$A$1:$AMK$1,0)</f>
        <v>#N/A</v>
      </c>
      <c r="D126" t="e">
        <f>INDEX(PitRawData!$A$1:$AMK$3,3,MATCH(DO_NOT_EDIT!A126,PitRawData!$A$1:$AMK$1,0))</f>
        <v>#N/A</v>
      </c>
      <c r="E126" t="s">
        <v>746</v>
      </c>
    </row>
    <row r="127" spans="1:5" x14ac:dyDescent="0.25">
      <c r="A127" t="s">
        <v>540</v>
      </c>
      <c r="B127">
        <f>COUNTIF(PitRawData!$1:$1,DO_NOT_EDIT!A127)</f>
        <v>0</v>
      </c>
      <c r="C127" t="e">
        <f>MATCH(A127,PitRawData!$A$1:$AMK$1,0)</f>
        <v>#N/A</v>
      </c>
      <c r="D127" t="e">
        <f>INDEX(PitRawData!$A$1:$AMK$3,3,MATCH(DO_NOT_EDIT!A127,PitRawData!$A$1:$AMK$1,0))</f>
        <v>#N/A</v>
      </c>
      <c r="E127" t="s">
        <v>746</v>
      </c>
    </row>
    <row r="128" spans="1:5" x14ac:dyDescent="0.25">
      <c r="A128" t="s">
        <v>590</v>
      </c>
      <c r="B128">
        <f>COUNTIF(PitRawData!$1:$1,DO_NOT_EDIT!A128)</f>
        <v>0</v>
      </c>
      <c r="C128" t="e">
        <f>MATCH(A128,PitRawData!$A$1:$AMK$1,0)</f>
        <v>#N/A</v>
      </c>
      <c r="D128" t="e">
        <f>INDEX(PitRawData!$A$1:$AMK$3,3,MATCH(DO_NOT_EDIT!A128,PitRawData!$A$1:$AMK$1,0))</f>
        <v>#N/A</v>
      </c>
      <c r="E128" t="s">
        <v>746</v>
      </c>
    </row>
    <row r="129" spans="1:5" x14ac:dyDescent="0.25">
      <c r="A129" t="s">
        <v>572</v>
      </c>
      <c r="B129">
        <f>COUNTIF(PitRawData!$1:$1,DO_NOT_EDIT!A129)</f>
        <v>0</v>
      </c>
      <c r="C129" t="e">
        <f>MATCH(A129,PitRawData!$A$1:$AMK$1,0)</f>
        <v>#N/A</v>
      </c>
      <c r="D129" t="e">
        <f>INDEX(PitRawData!$A$1:$AMK$3,3,MATCH(DO_NOT_EDIT!A129,PitRawData!$A$1:$AMK$1,0))</f>
        <v>#N/A</v>
      </c>
      <c r="E129" t="s">
        <v>746</v>
      </c>
    </row>
    <row r="130" spans="1:5" x14ac:dyDescent="0.25">
      <c r="A130" t="s">
        <v>555</v>
      </c>
      <c r="B130">
        <f>COUNTIF(PitRawData!$1:$1,DO_NOT_EDIT!A130)</f>
        <v>0</v>
      </c>
      <c r="C130" t="e">
        <f>MATCH(A130,PitRawData!$A$1:$AMK$1,0)</f>
        <v>#N/A</v>
      </c>
      <c r="D130" t="e">
        <f>INDEX(PitRawData!$A$1:$AMK$3,3,MATCH(DO_NOT_EDIT!A130,PitRawData!$A$1:$AMK$1,0))</f>
        <v>#N/A</v>
      </c>
      <c r="E130" t="s">
        <v>746</v>
      </c>
    </row>
    <row r="131" spans="1:5" x14ac:dyDescent="0.25">
      <c r="A131" t="s">
        <v>537</v>
      </c>
      <c r="B131">
        <f>COUNTIF(PitRawData!$1:$1,DO_NOT_EDIT!A131)</f>
        <v>0</v>
      </c>
      <c r="C131" t="e">
        <f>MATCH(A131,PitRawData!$A$1:$AMK$1,0)</f>
        <v>#N/A</v>
      </c>
      <c r="D131" t="e">
        <f>INDEX(PitRawData!$A$1:$AMK$3,3,MATCH(DO_NOT_EDIT!A131,PitRawData!$A$1:$AMK$1,0))</f>
        <v>#N/A</v>
      </c>
      <c r="E131" t="s">
        <v>746</v>
      </c>
    </row>
    <row r="132" spans="1:5" x14ac:dyDescent="0.25">
      <c r="A132" t="s">
        <v>591</v>
      </c>
      <c r="B132">
        <f>COUNTIF(PitRawData!$1:$1,DO_NOT_EDIT!A132)</f>
        <v>0</v>
      </c>
      <c r="C132" t="e">
        <f>MATCH(A132,PitRawData!$A$1:$AMK$1,0)</f>
        <v>#N/A</v>
      </c>
      <c r="D132" t="e">
        <f>INDEX(PitRawData!$A$1:$AMK$3,3,MATCH(DO_NOT_EDIT!A132,PitRawData!$A$1:$AMK$1,0))</f>
        <v>#N/A</v>
      </c>
      <c r="E132" t="s">
        <v>746</v>
      </c>
    </row>
    <row r="133" spans="1:5" x14ac:dyDescent="0.25">
      <c r="A133" t="s">
        <v>573</v>
      </c>
      <c r="B133">
        <f>COUNTIF(PitRawData!$1:$1,DO_NOT_EDIT!A133)</f>
        <v>0</v>
      </c>
      <c r="C133" t="e">
        <f>MATCH(A133,PitRawData!$A$1:$AMK$1,0)</f>
        <v>#N/A</v>
      </c>
      <c r="D133" t="e">
        <f>INDEX(PitRawData!$A$1:$AMK$3,3,MATCH(DO_NOT_EDIT!A133,PitRawData!$A$1:$AMK$1,0))</f>
        <v>#N/A</v>
      </c>
      <c r="E133" t="s">
        <v>746</v>
      </c>
    </row>
    <row r="134" spans="1:5" x14ac:dyDescent="0.25">
      <c r="A134" t="s">
        <v>556</v>
      </c>
      <c r="B134">
        <f>COUNTIF(PitRawData!$1:$1,DO_NOT_EDIT!A134)</f>
        <v>0</v>
      </c>
      <c r="C134" t="e">
        <f>MATCH(A134,PitRawData!$A$1:$AMK$1,0)</f>
        <v>#N/A</v>
      </c>
      <c r="D134" t="e">
        <f>INDEX(PitRawData!$A$1:$AMK$3,3,MATCH(DO_NOT_EDIT!A134,PitRawData!$A$1:$AMK$1,0))</f>
        <v>#N/A</v>
      </c>
      <c r="E134" t="s">
        <v>746</v>
      </c>
    </row>
    <row r="135" spans="1:5" x14ac:dyDescent="0.25">
      <c r="A135" t="s">
        <v>538</v>
      </c>
      <c r="B135">
        <f>COUNTIF(PitRawData!$1:$1,DO_NOT_EDIT!A135)</f>
        <v>0</v>
      </c>
      <c r="C135" t="e">
        <f>MATCH(A135,PitRawData!$A$1:$AMK$1,0)</f>
        <v>#N/A</v>
      </c>
      <c r="D135" t="e">
        <f>INDEX(PitRawData!$A$1:$AMK$3,3,MATCH(DO_NOT_EDIT!A135,PitRawData!$A$1:$AMK$1,0))</f>
        <v>#N/A</v>
      </c>
      <c r="E135" t="s">
        <v>746</v>
      </c>
    </row>
    <row r="136" spans="1:5" x14ac:dyDescent="0.25">
      <c r="A136" t="s">
        <v>596</v>
      </c>
      <c r="B136">
        <f>COUNTIF(PitRawData!$1:$1,DO_NOT_EDIT!A136)</f>
        <v>0</v>
      </c>
      <c r="C136" t="e">
        <f>MATCH(A136,PitRawData!$A$1:$AMK$1,0)</f>
        <v>#N/A</v>
      </c>
      <c r="D136" t="e">
        <f>INDEX(PitRawData!$A$1:$AMK$3,3,MATCH(DO_NOT_EDIT!A136,PitRawData!$A$1:$AMK$1,0))</f>
        <v>#N/A</v>
      </c>
      <c r="E136" t="s">
        <v>746</v>
      </c>
    </row>
    <row r="137" spans="1:5" x14ac:dyDescent="0.25">
      <c r="A137" t="s">
        <v>578</v>
      </c>
      <c r="B137">
        <f>COUNTIF(PitRawData!$1:$1,DO_NOT_EDIT!A137)</f>
        <v>0</v>
      </c>
      <c r="C137" t="e">
        <f>MATCH(A137,PitRawData!$A$1:$AMK$1,0)</f>
        <v>#N/A</v>
      </c>
      <c r="D137" t="e">
        <f>INDEX(PitRawData!$A$1:$AMK$3,3,MATCH(DO_NOT_EDIT!A137,PitRawData!$A$1:$AMK$1,0))</f>
        <v>#N/A</v>
      </c>
      <c r="E137" t="s">
        <v>746</v>
      </c>
    </row>
    <row r="138" spans="1:5" x14ac:dyDescent="0.25">
      <c r="A138" t="s">
        <v>561</v>
      </c>
      <c r="B138">
        <f>COUNTIF(PitRawData!$1:$1,DO_NOT_EDIT!A138)</f>
        <v>0</v>
      </c>
      <c r="C138" t="e">
        <f>MATCH(A138,PitRawData!$A$1:$AMK$1,0)</f>
        <v>#N/A</v>
      </c>
      <c r="D138" t="e">
        <f>INDEX(PitRawData!$A$1:$AMK$3,3,MATCH(DO_NOT_EDIT!A138,PitRawData!$A$1:$AMK$1,0))</f>
        <v>#N/A</v>
      </c>
      <c r="E138" t="s">
        <v>746</v>
      </c>
    </row>
    <row r="139" spans="1:5" x14ac:dyDescent="0.25">
      <c r="A139" t="s">
        <v>543</v>
      </c>
      <c r="B139">
        <f>COUNTIF(PitRawData!$1:$1,DO_NOT_EDIT!A139)</f>
        <v>0</v>
      </c>
      <c r="C139" t="e">
        <f>MATCH(A139,PitRawData!$A$1:$AMK$1,0)</f>
        <v>#N/A</v>
      </c>
      <c r="D139" t="e">
        <f>INDEX(PitRawData!$A$1:$AMK$3,3,MATCH(DO_NOT_EDIT!A139,PitRawData!$A$1:$AMK$1,0))</f>
        <v>#N/A</v>
      </c>
      <c r="E139" t="s">
        <v>746</v>
      </c>
    </row>
    <row r="140" spans="1:5" x14ac:dyDescent="0.25">
      <c r="A140" t="s">
        <v>588</v>
      </c>
      <c r="B140">
        <f>COUNTIF(PitRawData!$1:$1,DO_NOT_EDIT!A140)</f>
        <v>0</v>
      </c>
      <c r="C140" t="e">
        <f>MATCH(A140,PitRawData!$A$1:$AMK$1,0)</f>
        <v>#N/A</v>
      </c>
      <c r="D140" t="e">
        <f>INDEX(PitRawData!$A$1:$AMK$3,3,MATCH(DO_NOT_EDIT!A140,PitRawData!$A$1:$AMK$1,0))</f>
        <v>#N/A</v>
      </c>
      <c r="E140" t="s">
        <v>746</v>
      </c>
    </row>
    <row r="141" spans="1:5" x14ac:dyDescent="0.25">
      <c r="A141" t="s">
        <v>570</v>
      </c>
      <c r="B141">
        <f>COUNTIF(PitRawData!$1:$1,DO_NOT_EDIT!A141)</f>
        <v>0</v>
      </c>
      <c r="C141" t="e">
        <f>MATCH(A141,PitRawData!$A$1:$AMK$1,0)</f>
        <v>#N/A</v>
      </c>
      <c r="D141" t="e">
        <f>INDEX(PitRawData!$A$1:$AMK$3,3,MATCH(DO_NOT_EDIT!A141,PitRawData!$A$1:$AMK$1,0))</f>
        <v>#N/A</v>
      </c>
      <c r="E141" t="s">
        <v>746</v>
      </c>
    </row>
    <row r="142" spans="1:5" x14ac:dyDescent="0.25">
      <c r="A142" t="s">
        <v>553</v>
      </c>
      <c r="B142">
        <f>COUNTIF(PitRawData!$1:$1,DO_NOT_EDIT!A142)</f>
        <v>0</v>
      </c>
      <c r="C142" t="e">
        <f>MATCH(A142,PitRawData!$A$1:$AMK$1,0)</f>
        <v>#N/A</v>
      </c>
      <c r="D142" t="e">
        <f>INDEX(PitRawData!$A$1:$AMK$3,3,MATCH(DO_NOT_EDIT!A142,PitRawData!$A$1:$AMK$1,0))</f>
        <v>#N/A</v>
      </c>
      <c r="E142" t="s">
        <v>746</v>
      </c>
    </row>
    <row r="143" spans="1:5" x14ac:dyDescent="0.25">
      <c r="A143" t="s">
        <v>535</v>
      </c>
      <c r="B143">
        <f>COUNTIF(PitRawData!$1:$1,DO_NOT_EDIT!A143)</f>
        <v>0</v>
      </c>
      <c r="C143" t="e">
        <f>MATCH(A143,PitRawData!$A$1:$AMK$1,0)</f>
        <v>#N/A</v>
      </c>
      <c r="D143" t="e">
        <f>INDEX(PitRawData!$A$1:$AMK$3,3,MATCH(DO_NOT_EDIT!A143,PitRawData!$A$1:$AMK$1,0))</f>
        <v>#N/A</v>
      </c>
      <c r="E143" t="s">
        <v>746</v>
      </c>
    </row>
    <row r="144" spans="1:5" x14ac:dyDescent="0.25">
      <c r="A144" t="s">
        <v>589</v>
      </c>
      <c r="B144">
        <f>COUNTIF(PitRawData!$1:$1,DO_NOT_EDIT!A144)</f>
        <v>0</v>
      </c>
      <c r="C144" t="e">
        <f>MATCH(A144,PitRawData!$A$1:$AMK$1,0)</f>
        <v>#N/A</v>
      </c>
      <c r="D144" t="e">
        <f>INDEX(PitRawData!$A$1:$AMK$3,3,MATCH(DO_NOT_EDIT!A144,PitRawData!$A$1:$AMK$1,0))</f>
        <v>#N/A</v>
      </c>
      <c r="E144" t="s">
        <v>746</v>
      </c>
    </row>
    <row r="145" spans="1:5" x14ac:dyDescent="0.25">
      <c r="A145" t="s">
        <v>571</v>
      </c>
      <c r="B145">
        <f>COUNTIF(PitRawData!$1:$1,DO_NOT_EDIT!A145)</f>
        <v>0</v>
      </c>
      <c r="C145" t="e">
        <f>MATCH(A145,PitRawData!$A$1:$AMK$1,0)</f>
        <v>#N/A</v>
      </c>
      <c r="D145" t="e">
        <f>INDEX(PitRawData!$A$1:$AMK$3,3,MATCH(DO_NOT_EDIT!A145,PitRawData!$A$1:$AMK$1,0))</f>
        <v>#N/A</v>
      </c>
      <c r="E145" t="s">
        <v>746</v>
      </c>
    </row>
    <row r="146" spans="1:5" x14ac:dyDescent="0.25">
      <c r="A146" t="s">
        <v>554</v>
      </c>
      <c r="B146">
        <f>COUNTIF(PitRawData!$1:$1,DO_NOT_EDIT!A146)</f>
        <v>0</v>
      </c>
      <c r="C146" t="e">
        <f>MATCH(A146,PitRawData!$A$1:$AMK$1,0)</f>
        <v>#N/A</v>
      </c>
      <c r="D146" t="e">
        <f>INDEX(PitRawData!$A$1:$AMK$3,3,MATCH(DO_NOT_EDIT!A146,PitRawData!$A$1:$AMK$1,0))</f>
        <v>#N/A</v>
      </c>
      <c r="E146" t="s">
        <v>746</v>
      </c>
    </row>
    <row r="147" spans="1:5" x14ac:dyDescent="0.25">
      <c r="A147" t="s">
        <v>536</v>
      </c>
      <c r="B147">
        <f>COUNTIF(PitRawData!$1:$1,DO_NOT_EDIT!A147)</f>
        <v>0</v>
      </c>
      <c r="C147" t="e">
        <f>MATCH(A147,PitRawData!$A$1:$AMK$1,0)</f>
        <v>#N/A</v>
      </c>
      <c r="D147" t="e">
        <f>INDEX(PitRawData!$A$1:$AMK$3,3,MATCH(DO_NOT_EDIT!A147,PitRawData!$A$1:$AMK$1,0))</f>
        <v>#N/A</v>
      </c>
      <c r="E147" t="s">
        <v>746</v>
      </c>
    </row>
    <row r="148" spans="1:5" x14ac:dyDescent="0.25">
      <c r="A148" t="s">
        <v>584</v>
      </c>
      <c r="B148">
        <f>COUNTIF(PitRawData!$1:$1,DO_NOT_EDIT!A148)</f>
        <v>0</v>
      </c>
      <c r="C148" t="e">
        <f>MATCH(A148,PitRawData!$A$1:$AMK$1,0)</f>
        <v>#N/A</v>
      </c>
      <c r="D148" t="e">
        <f>INDEX(PitRawData!$A$1:$AMK$3,3,MATCH(DO_NOT_EDIT!A148,PitRawData!$A$1:$AMK$1,0))</f>
        <v>#N/A</v>
      </c>
      <c r="E148" t="s">
        <v>746</v>
      </c>
    </row>
    <row r="149" spans="1:5" x14ac:dyDescent="0.25">
      <c r="A149" t="s">
        <v>566</v>
      </c>
      <c r="B149">
        <f>COUNTIF(PitRawData!$1:$1,DO_NOT_EDIT!A149)</f>
        <v>0</v>
      </c>
      <c r="C149" t="e">
        <f>MATCH(A149,PitRawData!$A$1:$AMK$1,0)</f>
        <v>#N/A</v>
      </c>
      <c r="D149" t="e">
        <f>INDEX(PitRawData!$A$1:$AMK$3,3,MATCH(DO_NOT_EDIT!A149,PitRawData!$A$1:$AMK$1,0))</f>
        <v>#N/A</v>
      </c>
      <c r="E149" t="s">
        <v>746</v>
      </c>
    </row>
    <row r="150" spans="1:5" x14ac:dyDescent="0.25">
      <c r="A150" t="s">
        <v>549</v>
      </c>
      <c r="B150">
        <f>COUNTIF(PitRawData!$1:$1,DO_NOT_EDIT!A150)</f>
        <v>0</v>
      </c>
      <c r="C150" t="e">
        <f>MATCH(A150,PitRawData!$A$1:$AMK$1,0)</f>
        <v>#N/A</v>
      </c>
      <c r="D150" t="e">
        <f>INDEX(PitRawData!$A$1:$AMK$3,3,MATCH(DO_NOT_EDIT!A150,PitRawData!$A$1:$AMK$1,0))</f>
        <v>#N/A</v>
      </c>
      <c r="E150" t="s">
        <v>746</v>
      </c>
    </row>
    <row r="151" spans="1:5" x14ac:dyDescent="0.25">
      <c r="A151" t="s">
        <v>531</v>
      </c>
      <c r="B151">
        <f>COUNTIF(PitRawData!$1:$1,DO_NOT_EDIT!A151)</f>
        <v>0</v>
      </c>
      <c r="C151" t="e">
        <f>MATCH(A151,PitRawData!$A$1:$AMK$1,0)</f>
        <v>#N/A</v>
      </c>
      <c r="D151" t="e">
        <f>INDEX(PitRawData!$A$1:$AMK$3,3,MATCH(DO_NOT_EDIT!A151,PitRawData!$A$1:$AMK$1,0))</f>
        <v>#N/A</v>
      </c>
      <c r="E151" t="s">
        <v>746</v>
      </c>
    </row>
    <row r="152" spans="1:5" x14ac:dyDescent="0.25">
      <c r="A152" t="s">
        <v>585</v>
      </c>
      <c r="B152">
        <f>COUNTIF(PitRawData!$1:$1,DO_NOT_EDIT!A152)</f>
        <v>0</v>
      </c>
      <c r="C152" t="e">
        <f>MATCH(A152,PitRawData!$A$1:$AMK$1,0)</f>
        <v>#N/A</v>
      </c>
      <c r="D152" t="e">
        <f>INDEX(PitRawData!$A$1:$AMK$3,3,MATCH(DO_NOT_EDIT!A152,PitRawData!$A$1:$AMK$1,0))</f>
        <v>#N/A</v>
      </c>
      <c r="E152" t="s">
        <v>746</v>
      </c>
    </row>
    <row r="153" spans="1:5" x14ac:dyDescent="0.25">
      <c r="A153" t="s">
        <v>567</v>
      </c>
      <c r="B153">
        <f>COUNTIF(PitRawData!$1:$1,DO_NOT_EDIT!A153)</f>
        <v>0</v>
      </c>
      <c r="C153" t="e">
        <f>MATCH(A153,PitRawData!$A$1:$AMK$1,0)</f>
        <v>#N/A</v>
      </c>
      <c r="D153" t="e">
        <f>INDEX(PitRawData!$A$1:$AMK$3,3,MATCH(DO_NOT_EDIT!A153,PitRawData!$A$1:$AMK$1,0))</f>
        <v>#N/A</v>
      </c>
      <c r="E153" t="s">
        <v>746</v>
      </c>
    </row>
    <row r="154" spans="1:5" x14ac:dyDescent="0.25">
      <c r="A154" t="s">
        <v>550</v>
      </c>
      <c r="B154">
        <f>COUNTIF(PitRawData!$1:$1,DO_NOT_EDIT!A154)</f>
        <v>0</v>
      </c>
      <c r="C154" t="e">
        <f>MATCH(A154,PitRawData!$A$1:$AMK$1,0)</f>
        <v>#N/A</v>
      </c>
      <c r="D154" t="e">
        <f>INDEX(PitRawData!$A$1:$AMK$3,3,MATCH(DO_NOT_EDIT!A154,PitRawData!$A$1:$AMK$1,0))</f>
        <v>#N/A</v>
      </c>
      <c r="E154" t="s">
        <v>746</v>
      </c>
    </row>
    <row r="155" spans="1:5" x14ac:dyDescent="0.25">
      <c r="A155" t="s">
        <v>532</v>
      </c>
      <c r="B155">
        <f>COUNTIF(PitRawData!$1:$1,DO_NOT_EDIT!A155)</f>
        <v>0</v>
      </c>
      <c r="C155" t="e">
        <f>MATCH(A155,PitRawData!$A$1:$AMK$1,0)</f>
        <v>#N/A</v>
      </c>
      <c r="D155" t="e">
        <f>INDEX(PitRawData!$A$1:$AMK$3,3,MATCH(DO_NOT_EDIT!A155,PitRawData!$A$1:$AMK$1,0))</f>
        <v>#N/A</v>
      </c>
      <c r="E155" t="s">
        <v>746</v>
      </c>
    </row>
    <row r="156" spans="1:5" x14ac:dyDescent="0.25">
      <c r="A156" t="s">
        <v>582</v>
      </c>
      <c r="B156">
        <f>COUNTIF(PitRawData!$1:$1,DO_NOT_EDIT!A156)</f>
        <v>0</v>
      </c>
      <c r="C156" t="e">
        <f>MATCH(A156,PitRawData!$A$1:$AMK$1,0)</f>
        <v>#N/A</v>
      </c>
      <c r="D156" t="e">
        <f>INDEX(PitRawData!$A$1:$AMK$3,3,MATCH(DO_NOT_EDIT!A156,PitRawData!$A$1:$AMK$1,0))</f>
        <v>#N/A</v>
      </c>
      <c r="E156" t="s">
        <v>746</v>
      </c>
    </row>
    <row r="157" spans="1:5" x14ac:dyDescent="0.25">
      <c r="A157" t="s">
        <v>564</v>
      </c>
      <c r="B157">
        <f>COUNTIF(PitRawData!$1:$1,DO_NOT_EDIT!A157)</f>
        <v>0</v>
      </c>
      <c r="C157" t="e">
        <f>MATCH(A157,PitRawData!$A$1:$AMK$1,0)</f>
        <v>#N/A</v>
      </c>
      <c r="D157" t="e">
        <f>INDEX(PitRawData!$A$1:$AMK$3,3,MATCH(DO_NOT_EDIT!A157,PitRawData!$A$1:$AMK$1,0))</f>
        <v>#N/A</v>
      </c>
      <c r="E157" t="s">
        <v>746</v>
      </c>
    </row>
    <row r="158" spans="1:5" x14ac:dyDescent="0.25">
      <c r="A158" t="s">
        <v>547</v>
      </c>
      <c r="B158">
        <f>COUNTIF(PitRawData!$1:$1,DO_NOT_EDIT!A158)</f>
        <v>0</v>
      </c>
      <c r="C158" t="e">
        <f>MATCH(A158,PitRawData!$A$1:$AMK$1,0)</f>
        <v>#N/A</v>
      </c>
      <c r="D158" t="e">
        <f>INDEX(PitRawData!$A$1:$AMK$3,3,MATCH(DO_NOT_EDIT!A158,PitRawData!$A$1:$AMK$1,0))</f>
        <v>#N/A</v>
      </c>
      <c r="E158" t="s">
        <v>746</v>
      </c>
    </row>
    <row r="159" spans="1:5" x14ac:dyDescent="0.25">
      <c r="A159" t="s">
        <v>529</v>
      </c>
      <c r="B159">
        <f>COUNTIF(PitRawData!$1:$1,DO_NOT_EDIT!A159)</f>
        <v>0</v>
      </c>
      <c r="C159" t="e">
        <f>MATCH(A159,PitRawData!$A$1:$AMK$1,0)</f>
        <v>#N/A</v>
      </c>
      <c r="D159" t="e">
        <f>INDEX(PitRawData!$A$1:$AMK$3,3,MATCH(DO_NOT_EDIT!A159,PitRawData!$A$1:$AMK$1,0))</f>
        <v>#N/A</v>
      </c>
      <c r="E159" t="s">
        <v>746</v>
      </c>
    </row>
    <row r="160" spans="1:5" x14ac:dyDescent="0.25">
      <c r="A160" t="s">
        <v>583</v>
      </c>
      <c r="B160">
        <f>COUNTIF(PitRawData!$1:$1,DO_NOT_EDIT!A160)</f>
        <v>0</v>
      </c>
      <c r="C160" t="e">
        <f>MATCH(A160,PitRawData!$A$1:$AMK$1,0)</f>
        <v>#N/A</v>
      </c>
      <c r="D160" t="e">
        <f>INDEX(PitRawData!$A$1:$AMK$3,3,MATCH(DO_NOT_EDIT!A160,PitRawData!$A$1:$AMK$1,0))</f>
        <v>#N/A</v>
      </c>
      <c r="E160" t="s">
        <v>746</v>
      </c>
    </row>
    <row r="161" spans="1:5" x14ac:dyDescent="0.25">
      <c r="A161" t="s">
        <v>565</v>
      </c>
      <c r="B161">
        <f>COUNTIF(PitRawData!$1:$1,DO_NOT_EDIT!A161)</f>
        <v>0</v>
      </c>
      <c r="C161" t="e">
        <f>MATCH(A161,PitRawData!$A$1:$AMK$1,0)</f>
        <v>#N/A</v>
      </c>
      <c r="D161" t="e">
        <f>INDEX(PitRawData!$A$1:$AMK$3,3,MATCH(DO_NOT_EDIT!A161,PitRawData!$A$1:$AMK$1,0))</f>
        <v>#N/A</v>
      </c>
      <c r="E161" t="s">
        <v>746</v>
      </c>
    </row>
    <row r="162" spans="1:5" x14ac:dyDescent="0.25">
      <c r="A162" t="s">
        <v>548</v>
      </c>
      <c r="B162">
        <f>COUNTIF(PitRawData!$1:$1,DO_NOT_EDIT!A162)</f>
        <v>0</v>
      </c>
      <c r="C162" t="e">
        <f>MATCH(A162,PitRawData!$A$1:$AMK$1,0)</f>
        <v>#N/A</v>
      </c>
      <c r="D162" t="e">
        <f>INDEX(PitRawData!$A$1:$AMK$3,3,MATCH(DO_NOT_EDIT!A162,PitRawData!$A$1:$AMK$1,0))</f>
        <v>#N/A</v>
      </c>
      <c r="E162" t="s">
        <v>746</v>
      </c>
    </row>
    <row r="163" spans="1:5" x14ac:dyDescent="0.25">
      <c r="A163" t="s">
        <v>530</v>
      </c>
      <c r="B163">
        <f>COUNTIF(PitRawData!$1:$1,DO_NOT_EDIT!A163)</f>
        <v>0</v>
      </c>
      <c r="C163" t="e">
        <f>MATCH(A163,PitRawData!$A$1:$AMK$1,0)</f>
        <v>#N/A</v>
      </c>
      <c r="D163" t="e">
        <f>INDEX(PitRawData!$A$1:$AMK$3,3,MATCH(DO_NOT_EDIT!A163,PitRawData!$A$1:$AMK$1,0))</f>
        <v>#N/A</v>
      </c>
      <c r="E163" t="s">
        <v>746</v>
      </c>
    </row>
    <row r="164" spans="1:5" x14ac:dyDescent="0.25">
      <c r="A164" t="s">
        <v>587</v>
      </c>
      <c r="B164">
        <f>COUNTIF(PitRawData!$1:$1,DO_NOT_EDIT!A164)</f>
        <v>0</v>
      </c>
      <c r="C164" t="e">
        <f>MATCH(A164,PitRawData!$A$1:$AMK$1,0)</f>
        <v>#N/A</v>
      </c>
      <c r="D164" t="e">
        <f>INDEX(PitRawData!$A$1:$AMK$3,3,MATCH(DO_NOT_EDIT!A164,PitRawData!$A$1:$AMK$1,0))</f>
        <v>#N/A</v>
      </c>
      <c r="E164" t="s">
        <v>746</v>
      </c>
    </row>
    <row r="165" spans="1:5" x14ac:dyDescent="0.25">
      <c r="A165" t="s">
        <v>569</v>
      </c>
      <c r="B165">
        <f>COUNTIF(PitRawData!$1:$1,DO_NOT_EDIT!A165)</f>
        <v>0</v>
      </c>
      <c r="C165" t="e">
        <f>MATCH(A165,PitRawData!$A$1:$AMK$1,0)</f>
        <v>#N/A</v>
      </c>
      <c r="D165" t="e">
        <f>INDEX(PitRawData!$A$1:$AMK$3,3,MATCH(DO_NOT_EDIT!A165,PitRawData!$A$1:$AMK$1,0))</f>
        <v>#N/A</v>
      </c>
      <c r="E165" t="s">
        <v>746</v>
      </c>
    </row>
    <row r="166" spans="1:5" x14ac:dyDescent="0.25">
      <c r="A166" t="s">
        <v>552</v>
      </c>
      <c r="B166">
        <f>COUNTIF(PitRawData!$1:$1,DO_NOT_EDIT!A166)</f>
        <v>0</v>
      </c>
      <c r="C166" t="e">
        <f>MATCH(A166,PitRawData!$A$1:$AMK$1,0)</f>
        <v>#N/A</v>
      </c>
      <c r="D166" t="e">
        <f>INDEX(PitRawData!$A$1:$AMK$3,3,MATCH(DO_NOT_EDIT!A166,PitRawData!$A$1:$AMK$1,0))</f>
        <v>#N/A</v>
      </c>
      <c r="E166" t="s">
        <v>746</v>
      </c>
    </row>
    <row r="167" spans="1:5" x14ac:dyDescent="0.25">
      <c r="A167" t="s">
        <v>534</v>
      </c>
      <c r="B167">
        <f>COUNTIF(PitRawData!$1:$1,DO_NOT_EDIT!A167)</f>
        <v>0</v>
      </c>
      <c r="C167" t="e">
        <f>MATCH(A167,PitRawData!$A$1:$AMK$1,0)</f>
        <v>#N/A</v>
      </c>
      <c r="D167" t="e">
        <f>INDEX(PitRawData!$A$1:$AMK$3,3,MATCH(DO_NOT_EDIT!A167,PitRawData!$A$1:$AMK$1,0))</f>
        <v>#N/A</v>
      </c>
      <c r="E167" t="s">
        <v>746</v>
      </c>
    </row>
    <row r="168" spans="1:5" x14ac:dyDescent="0.25">
      <c r="A168" t="s">
        <v>586</v>
      </c>
      <c r="B168">
        <f>COUNTIF(PitRawData!$1:$1,DO_NOT_EDIT!A168)</f>
        <v>0</v>
      </c>
      <c r="C168" t="e">
        <f>MATCH(A168,PitRawData!$A$1:$AMK$1,0)</f>
        <v>#N/A</v>
      </c>
      <c r="D168" t="e">
        <f>INDEX(PitRawData!$A$1:$AMK$3,3,MATCH(DO_NOT_EDIT!A168,PitRawData!$A$1:$AMK$1,0))</f>
        <v>#N/A</v>
      </c>
      <c r="E168" t="s">
        <v>746</v>
      </c>
    </row>
    <row r="169" spans="1:5" x14ac:dyDescent="0.25">
      <c r="A169" t="s">
        <v>568</v>
      </c>
      <c r="B169">
        <f>COUNTIF(PitRawData!$1:$1,DO_NOT_EDIT!A169)</f>
        <v>0</v>
      </c>
      <c r="C169" t="e">
        <f>MATCH(A169,PitRawData!$A$1:$AMK$1,0)</f>
        <v>#N/A</v>
      </c>
      <c r="D169" t="e">
        <f>INDEX(PitRawData!$A$1:$AMK$3,3,MATCH(DO_NOT_EDIT!A169,PitRawData!$A$1:$AMK$1,0))</f>
        <v>#N/A</v>
      </c>
      <c r="E169" t="s">
        <v>746</v>
      </c>
    </row>
    <row r="170" spans="1:5" x14ac:dyDescent="0.25">
      <c r="A170" t="s">
        <v>551</v>
      </c>
      <c r="B170">
        <f>COUNTIF(PitRawData!$1:$1,DO_NOT_EDIT!A170)</f>
        <v>0</v>
      </c>
      <c r="C170" t="e">
        <f>MATCH(A170,PitRawData!$A$1:$AMK$1,0)</f>
        <v>#N/A</v>
      </c>
      <c r="D170" t="e">
        <f>INDEX(PitRawData!$A$1:$AMK$3,3,MATCH(DO_NOT_EDIT!A170,PitRawData!$A$1:$AMK$1,0))</f>
        <v>#N/A</v>
      </c>
      <c r="E170" t="s">
        <v>746</v>
      </c>
    </row>
    <row r="171" spans="1:5" x14ac:dyDescent="0.25">
      <c r="A171" t="s">
        <v>533</v>
      </c>
      <c r="B171">
        <f>COUNTIF(PitRawData!$1:$1,DO_NOT_EDIT!A171)</f>
        <v>0</v>
      </c>
      <c r="C171" t="e">
        <f>MATCH(A171,PitRawData!$A$1:$AMK$1,0)</f>
        <v>#N/A</v>
      </c>
      <c r="D171" t="e">
        <f>INDEX(PitRawData!$A$1:$AMK$3,3,MATCH(DO_NOT_EDIT!A171,PitRawData!$A$1:$AMK$1,0))</f>
        <v>#N/A</v>
      </c>
      <c r="E171" t="s">
        <v>746</v>
      </c>
    </row>
    <row r="172" spans="1:5" x14ac:dyDescent="0.25">
      <c r="A172" t="s">
        <v>581</v>
      </c>
      <c r="B172">
        <f>COUNTIF(PitRawData!$1:$1,DO_NOT_EDIT!A172)</f>
        <v>0</v>
      </c>
      <c r="C172" t="e">
        <f>MATCH(A172,PitRawData!$A$1:$AMK$1,0)</f>
        <v>#N/A</v>
      </c>
      <c r="D172" t="e">
        <f>INDEX(PitRawData!$A$1:$AMK$3,3,MATCH(DO_NOT_EDIT!A172,PitRawData!$A$1:$AMK$1,0))</f>
        <v>#N/A</v>
      </c>
      <c r="E172" t="s">
        <v>746</v>
      </c>
    </row>
    <row r="173" spans="1:5" x14ac:dyDescent="0.25">
      <c r="A173" t="s">
        <v>546</v>
      </c>
      <c r="B173">
        <f>COUNTIF(PitRawData!$1:$1,DO_NOT_EDIT!A173)</f>
        <v>0</v>
      </c>
      <c r="C173" t="e">
        <f>MATCH(A173,PitRawData!$A$1:$AMK$1,0)</f>
        <v>#N/A</v>
      </c>
      <c r="D173" t="e">
        <f>INDEX(PitRawData!$A$1:$AMK$3,3,MATCH(DO_NOT_EDIT!A173,PitRawData!$A$1:$AMK$1,0))</f>
        <v>#N/A</v>
      </c>
      <c r="E173" t="s">
        <v>746</v>
      </c>
    </row>
    <row r="174" spans="1:5" x14ac:dyDescent="0.25">
      <c r="A174" t="s">
        <v>528</v>
      </c>
      <c r="B174">
        <f>COUNTIF(PitRawData!$1:$1,DO_NOT_EDIT!A174)</f>
        <v>0</v>
      </c>
      <c r="C174" t="e">
        <f>MATCH(A174,PitRawData!$A$1:$AMK$1,0)</f>
        <v>#N/A</v>
      </c>
      <c r="D174" t="e">
        <f>INDEX(PitRawData!$A$1:$AMK$3,3,MATCH(DO_NOT_EDIT!A174,PitRawData!$A$1:$AMK$1,0))</f>
        <v>#N/A</v>
      </c>
      <c r="E174" t="s">
        <v>746</v>
      </c>
    </row>
    <row r="175" spans="1:5" x14ac:dyDescent="0.25">
      <c r="A175" t="s">
        <v>526</v>
      </c>
      <c r="B175">
        <f>COUNTIF(PitRawData!$1:$1,DO_NOT_EDIT!A175)</f>
        <v>0</v>
      </c>
      <c r="C175" t="e">
        <f>MATCH(A175,PitRawData!$A$1:$AMK$1,0)</f>
        <v>#N/A</v>
      </c>
      <c r="D175" t="e">
        <f>INDEX(PitRawData!$A$1:$AMK$3,3,MATCH(DO_NOT_EDIT!A175,PitRawData!$A$1:$AMK$1,0))</f>
        <v>#N/A</v>
      </c>
      <c r="E175" t="s">
        <v>747</v>
      </c>
    </row>
    <row r="176" spans="1:5" x14ac:dyDescent="0.25">
      <c r="A176" t="s">
        <v>503</v>
      </c>
      <c r="B176">
        <f>COUNTIF(PitRawData!$1:$1,DO_NOT_EDIT!A176)</f>
        <v>0</v>
      </c>
      <c r="C176" t="e">
        <f>MATCH(A176,PitRawData!$A$1:$AMK$1,0)</f>
        <v>#N/A</v>
      </c>
      <c r="D176" t="e">
        <f>INDEX(PitRawData!$A$1:$AMK$3,3,MATCH(DO_NOT_EDIT!A176,PitRawData!$A$1:$AMK$1,0))</f>
        <v>#N/A</v>
      </c>
      <c r="E176" t="s">
        <v>747</v>
      </c>
    </row>
    <row r="177" spans="1:5" x14ac:dyDescent="0.25">
      <c r="A177" t="s">
        <v>481</v>
      </c>
      <c r="B177">
        <f>COUNTIF(PitRawData!$1:$1,DO_NOT_EDIT!A177)</f>
        <v>0</v>
      </c>
      <c r="C177" t="e">
        <f>MATCH(A177,PitRawData!$A$1:$AMK$1,0)</f>
        <v>#N/A</v>
      </c>
      <c r="D177" t="e">
        <f>INDEX(PitRawData!$A$1:$AMK$3,3,MATCH(DO_NOT_EDIT!A177,PitRawData!$A$1:$AMK$1,0))</f>
        <v>#N/A</v>
      </c>
      <c r="E177" t="s">
        <v>747</v>
      </c>
    </row>
    <row r="178" spans="1:5" x14ac:dyDescent="0.25">
      <c r="A178" t="s">
        <v>458</v>
      </c>
      <c r="B178">
        <f>COUNTIF(PitRawData!$1:$1,DO_NOT_EDIT!A178)</f>
        <v>0</v>
      </c>
      <c r="C178" t="e">
        <f>MATCH(A178,PitRawData!$A$1:$AMK$1,0)</f>
        <v>#N/A</v>
      </c>
      <c r="D178" t="e">
        <f>INDEX(PitRawData!$A$1:$AMK$3,3,MATCH(DO_NOT_EDIT!A178,PitRawData!$A$1:$AMK$1,0))</f>
        <v>#N/A</v>
      </c>
      <c r="E178" t="s">
        <v>747</v>
      </c>
    </row>
    <row r="179" spans="1:5" x14ac:dyDescent="0.25">
      <c r="A179" t="s">
        <v>525</v>
      </c>
      <c r="B179">
        <f>COUNTIF(PitRawData!$1:$1,DO_NOT_EDIT!A179)</f>
        <v>0</v>
      </c>
      <c r="C179" t="e">
        <f>MATCH(A179,PitRawData!$A$1:$AMK$1,0)</f>
        <v>#N/A</v>
      </c>
      <c r="D179" t="e">
        <f>INDEX(PitRawData!$A$1:$AMK$3,3,MATCH(DO_NOT_EDIT!A179,PitRawData!$A$1:$AMK$1,0))</f>
        <v>#N/A</v>
      </c>
      <c r="E179" t="s">
        <v>747</v>
      </c>
    </row>
    <row r="180" spans="1:5" x14ac:dyDescent="0.25">
      <c r="A180" t="s">
        <v>502</v>
      </c>
      <c r="B180">
        <f>COUNTIF(PitRawData!$1:$1,DO_NOT_EDIT!A180)</f>
        <v>0</v>
      </c>
      <c r="C180" t="e">
        <f>MATCH(A180,PitRawData!$A$1:$AMK$1,0)</f>
        <v>#N/A</v>
      </c>
      <c r="D180" t="e">
        <f>INDEX(PitRawData!$A$1:$AMK$3,3,MATCH(DO_NOT_EDIT!A180,PitRawData!$A$1:$AMK$1,0))</f>
        <v>#N/A</v>
      </c>
      <c r="E180" t="s">
        <v>747</v>
      </c>
    </row>
    <row r="181" spans="1:5" x14ac:dyDescent="0.25">
      <c r="A181" t="s">
        <v>480</v>
      </c>
      <c r="B181">
        <f>COUNTIF(PitRawData!$1:$1,DO_NOT_EDIT!A181)</f>
        <v>0</v>
      </c>
      <c r="C181" t="e">
        <f>MATCH(A181,PitRawData!$A$1:$AMK$1,0)</f>
        <v>#N/A</v>
      </c>
      <c r="D181" t="e">
        <f>INDEX(PitRawData!$A$1:$AMK$3,3,MATCH(DO_NOT_EDIT!A181,PitRawData!$A$1:$AMK$1,0))</f>
        <v>#N/A</v>
      </c>
      <c r="E181" t="s">
        <v>747</v>
      </c>
    </row>
    <row r="182" spans="1:5" x14ac:dyDescent="0.25">
      <c r="A182" t="s">
        <v>457</v>
      </c>
      <c r="B182">
        <f>COUNTIF(PitRawData!$1:$1,DO_NOT_EDIT!A182)</f>
        <v>0</v>
      </c>
      <c r="C182" t="e">
        <f>MATCH(A182,PitRawData!$A$1:$AMK$1,0)</f>
        <v>#N/A</v>
      </c>
      <c r="D182" t="e">
        <f>INDEX(PitRawData!$A$1:$AMK$3,3,MATCH(DO_NOT_EDIT!A182,PitRawData!$A$1:$AMK$1,0))</f>
        <v>#N/A</v>
      </c>
      <c r="E182" t="s">
        <v>747</v>
      </c>
    </row>
    <row r="183" spans="1:5" x14ac:dyDescent="0.25">
      <c r="A183" t="s">
        <v>524</v>
      </c>
      <c r="B183">
        <f>COUNTIF(PitRawData!$1:$1,DO_NOT_EDIT!A183)</f>
        <v>0</v>
      </c>
      <c r="C183" t="e">
        <f>MATCH(A183,PitRawData!$A$1:$AMK$1,0)</f>
        <v>#N/A</v>
      </c>
      <c r="D183" t="e">
        <f>INDEX(PitRawData!$A$1:$AMK$3,3,MATCH(DO_NOT_EDIT!A183,PitRawData!$A$1:$AMK$1,0))</f>
        <v>#N/A</v>
      </c>
      <c r="E183" t="s">
        <v>747</v>
      </c>
    </row>
    <row r="184" spans="1:5" x14ac:dyDescent="0.25">
      <c r="A184" t="s">
        <v>501</v>
      </c>
      <c r="B184">
        <f>COUNTIF(PitRawData!$1:$1,DO_NOT_EDIT!A184)</f>
        <v>0</v>
      </c>
      <c r="C184" t="e">
        <f>MATCH(A184,PitRawData!$A$1:$AMK$1,0)</f>
        <v>#N/A</v>
      </c>
      <c r="D184" t="e">
        <f>INDEX(PitRawData!$A$1:$AMK$3,3,MATCH(DO_NOT_EDIT!A184,PitRawData!$A$1:$AMK$1,0))</f>
        <v>#N/A</v>
      </c>
      <c r="E184" t="s">
        <v>747</v>
      </c>
    </row>
    <row r="185" spans="1:5" x14ac:dyDescent="0.25">
      <c r="A185" t="s">
        <v>479</v>
      </c>
      <c r="B185">
        <f>COUNTIF(PitRawData!$1:$1,DO_NOT_EDIT!A185)</f>
        <v>0</v>
      </c>
      <c r="C185" t="e">
        <f>MATCH(A185,PitRawData!$A$1:$AMK$1,0)</f>
        <v>#N/A</v>
      </c>
      <c r="D185" t="e">
        <f>INDEX(PitRawData!$A$1:$AMK$3,3,MATCH(DO_NOT_EDIT!A185,PitRawData!$A$1:$AMK$1,0))</f>
        <v>#N/A</v>
      </c>
      <c r="E185" t="s">
        <v>747</v>
      </c>
    </row>
    <row r="186" spans="1:5" x14ac:dyDescent="0.25">
      <c r="A186" t="s">
        <v>456</v>
      </c>
      <c r="B186">
        <f>COUNTIF(PitRawData!$1:$1,DO_NOT_EDIT!A186)</f>
        <v>0</v>
      </c>
      <c r="C186" t="e">
        <f>MATCH(A186,PitRawData!$A$1:$AMK$1,0)</f>
        <v>#N/A</v>
      </c>
      <c r="D186" t="e">
        <f>INDEX(PitRawData!$A$1:$AMK$3,3,MATCH(DO_NOT_EDIT!A186,PitRawData!$A$1:$AMK$1,0))</f>
        <v>#N/A</v>
      </c>
      <c r="E186" t="s">
        <v>747</v>
      </c>
    </row>
    <row r="187" spans="1:5" x14ac:dyDescent="0.25">
      <c r="A187" t="s">
        <v>523</v>
      </c>
      <c r="B187">
        <f>COUNTIF(PitRawData!$1:$1,DO_NOT_EDIT!A187)</f>
        <v>0</v>
      </c>
      <c r="C187" t="e">
        <f>MATCH(A187,PitRawData!$A$1:$AMK$1,0)</f>
        <v>#N/A</v>
      </c>
      <c r="D187" t="e">
        <f>INDEX(PitRawData!$A$1:$AMK$3,3,MATCH(DO_NOT_EDIT!A187,PitRawData!$A$1:$AMK$1,0))</f>
        <v>#N/A</v>
      </c>
      <c r="E187" t="s">
        <v>747</v>
      </c>
    </row>
    <row r="188" spans="1:5" x14ac:dyDescent="0.25">
      <c r="A188" t="s">
        <v>500</v>
      </c>
      <c r="B188">
        <f>COUNTIF(PitRawData!$1:$1,DO_NOT_EDIT!A188)</f>
        <v>0</v>
      </c>
      <c r="C188" t="e">
        <f>MATCH(A188,PitRawData!$A$1:$AMK$1,0)</f>
        <v>#N/A</v>
      </c>
      <c r="D188" t="e">
        <f>INDEX(PitRawData!$A$1:$AMK$3,3,MATCH(DO_NOT_EDIT!A188,PitRawData!$A$1:$AMK$1,0))</f>
        <v>#N/A</v>
      </c>
      <c r="E188" t="s">
        <v>747</v>
      </c>
    </row>
    <row r="189" spans="1:5" x14ac:dyDescent="0.25">
      <c r="A189" t="s">
        <v>478</v>
      </c>
      <c r="B189">
        <f>COUNTIF(PitRawData!$1:$1,DO_NOT_EDIT!A189)</f>
        <v>0</v>
      </c>
      <c r="C189" t="e">
        <f>MATCH(A189,PitRawData!$A$1:$AMK$1,0)</f>
        <v>#N/A</v>
      </c>
      <c r="D189" t="e">
        <f>INDEX(PitRawData!$A$1:$AMK$3,3,MATCH(DO_NOT_EDIT!A189,PitRawData!$A$1:$AMK$1,0))</f>
        <v>#N/A</v>
      </c>
      <c r="E189" t="s">
        <v>747</v>
      </c>
    </row>
    <row r="190" spans="1:5" x14ac:dyDescent="0.25">
      <c r="A190" t="s">
        <v>455</v>
      </c>
      <c r="B190">
        <f>COUNTIF(PitRawData!$1:$1,DO_NOT_EDIT!A190)</f>
        <v>0</v>
      </c>
      <c r="C190" t="e">
        <f>MATCH(A190,PitRawData!$A$1:$AMK$1,0)</f>
        <v>#N/A</v>
      </c>
      <c r="D190" t="e">
        <f>INDEX(PitRawData!$A$1:$AMK$3,3,MATCH(DO_NOT_EDIT!A190,PitRawData!$A$1:$AMK$1,0))</f>
        <v>#N/A</v>
      </c>
      <c r="E190" t="s">
        <v>747</v>
      </c>
    </row>
    <row r="191" spans="1:5" x14ac:dyDescent="0.25">
      <c r="A191" t="s">
        <v>522</v>
      </c>
      <c r="B191">
        <f>COUNTIF(PitRawData!$1:$1,DO_NOT_EDIT!A191)</f>
        <v>0</v>
      </c>
      <c r="C191" t="e">
        <f>MATCH(A191,PitRawData!$A$1:$AMK$1,0)</f>
        <v>#N/A</v>
      </c>
      <c r="D191" t="e">
        <f>INDEX(PitRawData!$A$1:$AMK$3,3,MATCH(DO_NOT_EDIT!A191,PitRawData!$A$1:$AMK$1,0))</f>
        <v>#N/A</v>
      </c>
      <c r="E191" t="s">
        <v>747</v>
      </c>
    </row>
    <row r="192" spans="1:5" x14ac:dyDescent="0.25">
      <c r="A192" t="s">
        <v>499</v>
      </c>
      <c r="B192">
        <f>COUNTIF(PitRawData!$1:$1,DO_NOT_EDIT!A192)</f>
        <v>0</v>
      </c>
      <c r="C192" t="e">
        <f>MATCH(A192,PitRawData!$A$1:$AMK$1,0)</f>
        <v>#N/A</v>
      </c>
      <c r="D192" t="e">
        <f>INDEX(PitRawData!$A$1:$AMK$3,3,MATCH(DO_NOT_EDIT!A192,PitRawData!$A$1:$AMK$1,0))</f>
        <v>#N/A</v>
      </c>
      <c r="E192" t="s">
        <v>747</v>
      </c>
    </row>
    <row r="193" spans="1:5" x14ac:dyDescent="0.25">
      <c r="A193" t="s">
        <v>477</v>
      </c>
      <c r="B193">
        <f>COUNTIF(PitRawData!$1:$1,DO_NOT_EDIT!A193)</f>
        <v>0</v>
      </c>
      <c r="C193" t="e">
        <f>MATCH(A193,PitRawData!$A$1:$AMK$1,0)</f>
        <v>#N/A</v>
      </c>
      <c r="D193" t="e">
        <f>INDEX(PitRawData!$A$1:$AMK$3,3,MATCH(DO_NOT_EDIT!A193,PitRawData!$A$1:$AMK$1,0))</f>
        <v>#N/A</v>
      </c>
      <c r="E193" t="s">
        <v>747</v>
      </c>
    </row>
    <row r="194" spans="1:5" x14ac:dyDescent="0.25">
      <c r="A194" t="s">
        <v>454</v>
      </c>
      <c r="B194">
        <f>COUNTIF(PitRawData!$1:$1,DO_NOT_EDIT!A194)</f>
        <v>0</v>
      </c>
      <c r="C194" t="e">
        <f>MATCH(A194,PitRawData!$A$1:$AMK$1,0)</f>
        <v>#N/A</v>
      </c>
      <c r="D194" t="e">
        <f>INDEX(PitRawData!$A$1:$AMK$3,3,MATCH(DO_NOT_EDIT!A194,PitRawData!$A$1:$AMK$1,0))</f>
        <v>#N/A</v>
      </c>
      <c r="E194" t="s">
        <v>747</v>
      </c>
    </row>
    <row r="195" spans="1:5" x14ac:dyDescent="0.25">
      <c r="A195" t="s">
        <v>521</v>
      </c>
      <c r="B195">
        <f>COUNTIF(PitRawData!$1:$1,DO_NOT_EDIT!A195)</f>
        <v>0</v>
      </c>
      <c r="C195" t="e">
        <f>MATCH(A195,PitRawData!$A$1:$AMK$1,0)</f>
        <v>#N/A</v>
      </c>
      <c r="D195" t="e">
        <f>INDEX(PitRawData!$A$1:$AMK$3,3,MATCH(DO_NOT_EDIT!A195,PitRawData!$A$1:$AMK$1,0))</f>
        <v>#N/A</v>
      </c>
      <c r="E195" t="s">
        <v>747</v>
      </c>
    </row>
    <row r="196" spans="1:5" x14ac:dyDescent="0.25">
      <c r="A196" t="s">
        <v>498</v>
      </c>
      <c r="B196">
        <f>COUNTIF(PitRawData!$1:$1,DO_NOT_EDIT!A196)</f>
        <v>0</v>
      </c>
      <c r="C196" t="e">
        <f>MATCH(A196,PitRawData!$A$1:$AMK$1,0)</f>
        <v>#N/A</v>
      </c>
      <c r="D196" t="e">
        <f>INDEX(PitRawData!$A$1:$AMK$3,3,MATCH(DO_NOT_EDIT!A196,PitRawData!$A$1:$AMK$1,0))</f>
        <v>#N/A</v>
      </c>
      <c r="E196" t="s">
        <v>747</v>
      </c>
    </row>
    <row r="197" spans="1:5" x14ac:dyDescent="0.25">
      <c r="A197" t="s">
        <v>476</v>
      </c>
      <c r="B197">
        <f>COUNTIF(PitRawData!$1:$1,DO_NOT_EDIT!A197)</f>
        <v>0</v>
      </c>
      <c r="C197" t="e">
        <f>MATCH(A197,PitRawData!$A$1:$AMK$1,0)</f>
        <v>#N/A</v>
      </c>
      <c r="D197" t="e">
        <f>INDEX(PitRawData!$A$1:$AMK$3,3,MATCH(DO_NOT_EDIT!A197,PitRawData!$A$1:$AMK$1,0))</f>
        <v>#N/A</v>
      </c>
      <c r="E197" t="s">
        <v>747</v>
      </c>
    </row>
    <row r="198" spans="1:5" x14ac:dyDescent="0.25">
      <c r="A198" t="s">
        <v>453</v>
      </c>
      <c r="B198">
        <f>COUNTIF(PitRawData!$1:$1,DO_NOT_EDIT!A198)</f>
        <v>0</v>
      </c>
      <c r="C198" t="e">
        <f>MATCH(A198,PitRawData!$A$1:$AMK$1,0)</f>
        <v>#N/A</v>
      </c>
      <c r="D198" t="e">
        <f>INDEX(PitRawData!$A$1:$AMK$3,3,MATCH(DO_NOT_EDIT!A198,PitRawData!$A$1:$AMK$1,0))</f>
        <v>#N/A</v>
      </c>
      <c r="E198" t="s">
        <v>747</v>
      </c>
    </row>
    <row r="199" spans="1:5" x14ac:dyDescent="0.25">
      <c r="A199" t="s">
        <v>520</v>
      </c>
      <c r="B199">
        <f>COUNTIF(PitRawData!$1:$1,DO_NOT_EDIT!A199)</f>
        <v>0</v>
      </c>
      <c r="C199" t="e">
        <f>MATCH(A199,PitRawData!$A$1:$AMK$1,0)</f>
        <v>#N/A</v>
      </c>
      <c r="D199" t="e">
        <f>INDEX(PitRawData!$A$1:$AMK$3,3,MATCH(DO_NOT_EDIT!A199,PitRawData!$A$1:$AMK$1,0))</f>
        <v>#N/A</v>
      </c>
      <c r="E199" t="s">
        <v>747</v>
      </c>
    </row>
    <row r="200" spans="1:5" x14ac:dyDescent="0.25">
      <c r="A200" t="s">
        <v>497</v>
      </c>
      <c r="B200">
        <f>COUNTIF(PitRawData!$1:$1,DO_NOT_EDIT!A200)</f>
        <v>0</v>
      </c>
      <c r="C200" t="e">
        <f>MATCH(A200,PitRawData!$A$1:$AMK$1,0)</f>
        <v>#N/A</v>
      </c>
      <c r="D200" t="e">
        <f>INDEX(PitRawData!$A$1:$AMK$3,3,MATCH(DO_NOT_EDIT!A200,PitRawData!$A$1:$AMK$1,0))</f>
        <v>#N/A</v>
      </c>
      <c r="E200" t="s">
        <v>747</v>
      </c>
    </row>
    <row r="201" spans="1:5" x14ac:dyDescent="0.25">
      <c r="A201" t="s">
        <v>475</v>
      </c>
      <c r="B201">
        <f>COUNTIF(PitRawData!$1:$1,DO_NOT_EDIT!A201)</f>
        <v>0</v>
      </c>
      <c r="C201" t="e">
        <f>MATCH(A201,PitRawData!$A$1:$AMK$1,0)</f>
        <v>#N/A</v>
      </c>
      <c r="D201" t="e">
        <f>INDEX(PitRawData!$A$1:$AMK$3,3,MATCH(DO_NOT_EDIT!A201,PitRawData!$A$1:$AMK$1,0))</f>
        <v>#N/A</v>
      </c>
      <c r="E201" t="s">
        <v>747</v>
      </c>
    </row>
    <row r="202" spans="1:5" x14ac:dyDescent="0.25">
      <c r="A202" t="s">
        <v>452</v>
      </c>
      <c r="B202">
        <f>COUNTIF(PitRawData!$1:$1,DO_NOT_EDIT!A202)</f>
        <v>0</v>
      </c>
      <c r="C202" t="e">
        <f>MATCH(A202,PitRawData!$A$1:$AMK$1,0)</f>
        <v>#N/A</v>
      </c>
      <c r="D202" t="e">
        <f>INDEX(PitRawData!$A$1:$AMK$3,3,MATCH(DO_NOT_EDIT!A202,PitRawData!$A$1:$AMK$1,0))</f>
        <v>#N/A</v>
      </c>
      <c r="E202" t="s">
        <v>747</v>
      </c>
    </row>
    <row r="203" spans="1:5" x14ac:dyDescent="0.25">
      <c r="A203" t="s">
        <v>517</v>
      </c>
      <c r="B203">
        <f>COUNTIF(PitRawData!$1:$1,DO_NOT_EDIT!A203)</f>
        <v>0</v>
      </c>
      <c r="C203" t="e">
        <f>MATCH(A203,PitRawData!$A$1:$AMK$1,0)</f>
        <v>#N/A</v>
      </c>
      <c r="D203" t="e">
        <f>INDEX(PitRawData!$A$1:$AMK$3,3,MATCH(DO_NOT_EDIT!A203,PitRawData!$A$1:$AMK$1,0))</f>
        <v>#N/A</v>
      </c>
      <c r="E203" t="s">
        <v>747</v>
      </c>
    </row>
    <row r="204" spans="1:5" x14ac:dyDescent="0.25">
      <c r="A204" t="s">
        <v>494</v>
      </c>
      <c r="B204">
        <f>COUNTIF(PitRawData!$1:$1,DO_NOT_EDIT!A204)</f>
        <v>0</v>
      </c>
      <c r="C204" t="e">
        <f>MATCH(A204,PitRawData!$A$1:$AMK$1,0)</f>
        <v>#N/A</v>
      </c>
      <c r="D204" t="e">
        <f>INDEX(PitRawData!$A$1:$AMK$3,3,MATCH(DO_NOT_EDIT!A204,PitRawData!$A$1:$AMK$1,0))</f>
        <v>#N/A</v>
      </c>
      <c r="E204" t="s">
        <v>747</v>
      </c>
    </row>
    <row r="205" spans="1:5" x14ac:dyDescent="0.25">
      <c r="A205" t="s">
        <v>472</v>
      </c>
      <c r="B205">
        <f>COUNTIF(PitRawData!$1:$1,DO_NOT_EDIT!A205)</f>
        <v>0</v>
      </c>
      <c r="C205" t="e">
        <f>MATCH(A205,PitRawData!$A$1:$AMK$1,0)</f>
        <v>#N/A</v>
      </c>
      <c r="D205" t="e">
        <f>INDEX(PitRawData!$A$1:$AMK$3,3,MATCH(DO_NOT_EDIT!A205,PitRawData!$A$1:$AMK$1,0))</f>
        <v>#N/A</v>
      </c>
      <c r="E205" t="s">
        <v>747</v>
      </c>
    </row>
    <row r="206" spans="1:5" x14ac:dyDescent="0.25">
      <c r="A206" t="s">
        <v>449</v>
      </c>
      <c r="B206">
        <f>COUNTIF(PitRawData!$1:$1,DO_NOT_EDIT!A206)</f>
        <v>0</v>
      </c>
      <c r="C206" t="e">
        <f>MATCH(A206,PitRawData!$A$1:$AMK$1,0)</f>
        <v>#N/A</v>
      </c>
      <c r="D206" t="e">
        <f>INDEX(PitRawData!$A$1:$AMK$3,3,MATCH(DO_NOT_EDIT!A206,PitRawData!$A$1:$AMK$1,0))</f>
        <v>#N/A</v>
      </c>
      <c r="E206" t="s">
        <v>747</v>
      </c>
    </row>
    <row r="207" spans="1:5" x14ac:dyDescent="0.25">
      <c r="A207" t="s">
        <v>518</v>
      </c>
      <c r="B207">
        <f>COUNTIF(PitRawData!$1:$1,DO_NOT_EDIT!A207)</f>
        <v>0</v>
      </c>
      <c r="C207" t="e">
        <f>MATCH(A207,PitRawData!$A$1:$AMK$1,0)</f>
        <v>#N/A</v>
      </c>
      <c r="D207" t="e">
        <f>INDEX(PitRawData!$A$1:$AMK$3,3,MATCH(DO_NOT_EDIT!A207,PitRawData!$A$1:$AMK$1,0))</f>
        <v>#N/A</v>
      </c>
      <c r="E207" t="s">
        <v>747</v>
      </c>
    </row>
    <row r="208" spans="1:5" x14ac:dyDescent="0.25">
      <c r="A208" t="s">
        <v>495</v>
      </c>
      <c r="B208">
        <f>COUNTIF(PitRawData!$1:$1,DO_NOT_EDIT!A208)</f>
        <v>0</v>
      </c>
      <c r="C208" t="e">
        <f>MATCH(A208,PitRawData!$A$1:$AMK$1,0)</f>
        <v>#N/A</v>
      </c>
      <c r="D208" t="e">
        <f>INDEX(PitRawData!$A$1:$AMK$3,3,MATCH(DO_NOT_EDIT!A208,PitRawData!$A$1:$AMK$1,0))</f>
        <v>#N/A</v>
      </c>
      <c r="E208" t="s">
        <v>747</v>
      </c>
    </row>
    <row r="209" spans="1:5" x14ac:dyDescent="0.25">
      <c r="A209" t="s">
        <v>473</v>
      </c>
      <c r="B209">
        <f>COUNTIF(PitRawData!$1:$1,DO_NOT_EDIT!A209)</f>
        <v>0</v>
      </c>
      <c r="C209" t="e">
        <f>MATCH(A209,PitRawData!$A$1:$AMK$1,0)</f>
        <v>#N/A</v>
      </c>
      <c r="D209" t="e">
        <f>INDEX(PitRawData!$A$1:$AMK$3,3,MATCH(DO_NOT_EDIT!A209,PitRawData!$A$1:$AMK$1,0))</f>
        <v>#N/A</v>
      </c>
      <c r="E209" t="s">
        <v>747</v>
      </c>
    </row>
    <row r="210" spans="1:5" x14ac:dyDescent="0.25">
      <c r="A210" t="s">
        <v>450</v>
      </c>
      <c r="B210">
        <f>COUNTIF(PitRawData!$1:$1,DO_NOT_EDIT!A210)</f>
        <v>0</v>
      </c>
      <c r="C210" t="e">
        <f>MATCH(A210,PitRawData!$A$1:$AMK$1,0)</f>
        <v>#N/A</v>
      </c>
      <c r="D210" t="e">
        <f>INDEX(PitRawData!$A$1:$AMK$3,3,MATCH(DO_NOT_EDIT!A210,PitRawData!$A$1:$AMK$1,0))</f>
        <v>#N/A</v>
      </c>
      <c r="E210" t="s">
        <v>747</v>
      </c>
    </row>
    <row r="211" spans="1:5" x14ac:dyDescent="0.25">
      <c r="A211" t="s">
        <v>515</v>
      </c>
      <c r="B211">
        <f>COUNTIF(PitRawData!$1:$1,DO_NOT_EDIT!A211)</f>
        <v>0</v>
      </c>
      <c r="C211" t="e">
        <f>MATCH(A211,PitRawData!$A$1:$AMK$1,0)</f>
        <v>#N/A</v>
      </c>
      <c r="D211" t="e">
        <f>INDEX(PitRawData!$A$1:$AMK$3,3,MATCH(DO_NOT_EDIT!A211,PitRawData!$A$1:$AMK$1,0))</f>
        <v>#N/A</v>
      </c>
      <c r="E211" t="s">
        <v>747</v>
      </c>
    </row>
    <row r="212" spans="1:5" x14ac:dyDescent="0.25">
      <c r="A212" t="s">
        <v>492</v>
      </c>
      <c r="B212">
        <f>COUNTIF(PitRawData!$1:$1,DO_NOT_EDIT!A212)</f>
        <v>0</v>
      </c>
      <c r="C212" t="e">
        <f>MATCH(A212,PitRawData!$A$1:$AMK$1,0)</f>
        <v>#N/A</v>
      </c>
      <c r="D212" t="e">
        <f>INDEX(PitRawData!$A$1:$AMK$3,3,MATCH(DO_NOT_EDIT!A212,PitRawData!$A$1:$AMK$1,0))</f>
        <v>#N/A</v>
      </c>
      <c r="E212" t="s">
        <v>747</v>
      </c>
    </row>
    <row r="213" spans="1:5" x14ac:dyDescent="0.25">
      <c r="A213" t="s">
        <v>470</v>
      </c>
      <c r="B213">
        <f>COUNTIF(PitRawData!$1:$1,DO_NOT_EDIT!A213)</f>
        <v>0</v>
      </c>
      <c r="C213" t="e">
        <f>MATCH(A213,PitRawData!$A$1:$AMK$1,0)</f>
        <v>#N/A</v>
      </c>
      <c r="D213" t="e">
        <f>INDEX(PitRawData!$A$1:$AMK$3,3,MATCH(DO_NOT_EDIT!A213,PitRawData!$A$1:$AMK$1,0))</f>
        <v>#N/A</v>
      </c>
      <c r="E213" t="s">
        <v>747</v>
      </c>
    </row>
    <row r="214" spans="1:5" x14ac:dyDescent="0.25">
      <c r="A214" t="s">
        <v>447</v>
      </c>
      <c r="B214">
        <f>COUNTIF(PitRawData!$1:$1,DO_NOT_EDIT!A214)</f>
        <v>0</v>
      </c>
      <c r="C214" t="e">
        <f>MATCH(A214,PitRawData!$A$1:$AMK$1,0)</f>
        <v>#N/A</v>
      </c>
      <c r="D214" t="e">
        <f>INDEX(PitRawData!$A$1:$AMK$3,3,MATCH(DO_NOT_EDIT!A214,PitRawData!$A$1:$AMK$1,0))</f>
        <v>#N/A</v>
      </c>
      <c r="E214" t="s">
        <v>747</v>
      </c>
    </row>
    <row r="215" spans="1:5" x14ac:dyDescent="0.25">
      <c r="A215" t="s">
        <v>516</v>
      </c>
      <c r="B215">
        <f>COUNTIF(PitRawData!$1:$1,DO_NOT_EDIT!A215)</f>
        <v>0</v>
      </c>
      <c r="C215" t="e">
        <f>MATCH(A215,PitRawData!$A$1:$AMK$1,0)</f>
        <v>#N/A</v>
      </c>
      <c r="D215" t="e">
        <f>INDEX(PitRawData!$A$1:$AMK$3,3,MATCH(DO_NOT_EDIT!A215,PitRawData!$A$1:$AMK$1,0))</f>
        <v>#N/A</v>
      </c>
      <c r="E215" t="s">
        <v>747</v>
      </c>
    </row>
    <row r="216" spans="1:5" x14ac:dyDescent="0.25">
      <c r="A216" t="s">
        <v>493</v>
      </c>
      <c r="B216">
        <f>COUNTIF(PitRawData!$1:$1,DO_NOT_EDIT!A216)</f>
        <v>0</v>
      </c>
      <c r="C216" t="e">
        <f>MATCH(A216,PitRawData!$A$1:$AMK$1,0)</f>
        <v>#N/A</v>
      </c>
      <c r="D216" t="e">
        <f>INDEX(PitRawData!$A$1:$AMK$3,3,MATCH(DO_NOT_EDIT!A216,PitRawData!$A$1:$AMK$1,0))</f>
        <v>#N/A</v>
      </c>
      <c r="E216" t="s">
        <v>747</v>
      </c>
    </row>
    <row r="217" spans="1:5" x14ac:dyDescent="0.25">
      <c r="A217" t="s">
        <v>471</v>
      </c>
      <c r="B217">
        <f>COUNTIF(PitRawData!$1:$1,DO_NOT_EDIT!A217)</f>
        <v>0</v>
      </c>
      <c r="C217" t="e">
        <f>MATCH(A217,PitRawData!$A$1:$AMK$1,0)</f>
        <v>#N/A</v>
      </c>
      <c r="D217" t="e">
        <f>INDEX(PitRawData!$A$1:$AMK$3,3,MATCH(DO_NOT_EDIT!A217,PitRawData!$A$1:$AMK$1,0))</f>
        <v>#N/A</v>
      </c>
      <c r="E217" t="s">
        <v>747</v>
      </c>
    </row>
    <row r="218" spans="1:5" x14ac:dyDescent="0.25">
      <c r="A218" t="s">
        <v>448</v>
      </c>
      <c r="B218">
        <f>COUNTIF(PitRawData!$1:$1,DO_NOT_EDIT!A218)</f>
        <v>0</v>
      </c>
      <c r="C218" t="e">
        <f>MATCH(A218,PitRawData!$A$1:$AMK$1,0)</f>
        <v>#N/A</v>
      </c>
      <c r="D218" t="e">
        <f>INDEX(PitRawData!$A$1:$AMK$3,3,MATCH(DO_NOT_EDIT!A218,PitRawData!$A$1:$AMK$1,0))</f>
        <v>#N/A</v>
      </c>
      <c r="E218" t="s">
        <v>747</v>
      </c>
    </row>
    <row r="219" spans="1:5" x14ac:dyDescent="0.25">
      <c r="A219" t="s">
        <v>513</v>
      </c>
      <c r="B219">
        <f>COUNTIF(PitRawData!$1:$1,DO_NOT_EDIT!A219)</f>
        <v>0</v>
      </c>
      <c r="C219" t="e">
        <f>MATCH(A219,PitRawData!$A$1:$AMK$1,0)</f>
        <v>#N/A</v>
      </c>
      <c r="D219" t="e">
        <f>INDEX(PitRawData!$A$1:$AMK$3,3,MATCH(DO_NOT_EDIT!A219,PitRawData!$A$1:$AMK$1,0))</f>
        <v>#N/A</v>
      </c>
      <c r="E219" t="s">
        <v>747</v>
      </c>
    </row>
    <row r="220" spans="1:5" x14ac:dyDescent="0.25">
      <c r="A220" t="s">
        <v>490</v>
      </c>
      <c r="B220">
        <f>COUNTIF(PitRawData!$1:$1,DO_NOT_EDIT!A220)</f>
        <v>0</v>
      </c>
      <c r="C220" t="e">
        <f>MATCH(A220,PitRawData!$A$1:$AMK$1,0)</f>
        <v>#N/A</v>
      </c>
      <c r="D220" t="e">
        <f>INDEX(PitRawData!$A$1:$AMK$3,3,MATCH(DO_NOT_EDIT!A220,PitRawData!$A$1:$AMK$1,0))</f>
        <v>#N/A</v>
      </c>
      <c r="E220" t="s">
        <v>747</v>
      </c>
    </row>
    <row r="221" spans="1:5" x14ac:dyDescent="0.25">
      <c r="A221" t="s">
        <v>468</v>
      </c>
      <c r="B221">
        <f>COUNTIF(PitRawData!$1:$1,DO_NOT_EDIT!A221)</f>
        <v>0</v>
      </c>
      <c r="C221" t="e">
        <f>MATCH(A221,PitRawData!$A$1:$AMK$1,0)</f>
        <v>#N/A</v>
      </c>
      <c r="D221" t="e">
        <f>INDEX(PitRawData!$A$1:$AMK$3,3,MATCH(DO_NOT_EDIT!A221,PitRawData!$A$1:$AMK$1,0))</f>
        <v>#N/A</v>
      </c>
      <c r="E221" t="s">
        <v>747</v>
      </c>
    </row>
    <row r="222" spans="1:5" x14ac:dyDescent="0.25">
      <c r="A222" t="s">
        <v>445</v>
      </c>
      <c r="B222">
        <f>COUNTIF(PitRawData!$1:$1,DO_NOT_EDIT!A222)</f>
        <v>0</v>
      </c>
      <c r="C222" t="e">
        <f>MATCH(A222,PitRawData!$A$1:$AMK$1,0)</f>
        <v>#N/A</v>
      </c>
      <c r="D222" t="e">
        <f>INDEX(PitRawData!$A$1:$AMK$3,3,MATCH(DO_NOT_EDIT!A222,PitRawData!$A$1:$AMK$1,0))</f>
        <v>#N/A</v>
      </c>
      <c r="E222" t="s">
        <v>747</v>
      </c>
    </row>
    <row r="223" spans="1:5" x14ac:dyDescent="0.25">
      <c r="A223" t="s">
        <v>514</v>
      </c>
      <c r="B223">
        <f>COUNTIF(PitRawData!$1:$1,DO_NOT_EDIT!A223)</f>
        <v>0</v>
      </c>
      <c r="C223" t="e">
        <f>MATCH(A223,PitRawData!$A$1:$AMK$1,0)</f>
        <v>#N/A</v>
      </c>
      <c r="D223" t="e">
        <f>INDEX(PitRawData!$A$1:$AMK$3,3,MATCH(DO_NOT_EDIT!A223,PitRawData!$A$1:$AMK$1,0))</f>
        <v>#N/A</v>
      </c>
      <c r="E223" t="s">
        <v>747</v>
      </c>
    </row>
    <row r="224" spans="1:5" x14ac:dyDescent="0.25">
      <c r="A224" t="s">
        <v>491</v>
      </c>
      <c r="B224">
        <f>COUNTIF(PitRawData!$1:$1,DO_NOT_EDIT!A224)</f>
        <v>0</v>
      </c>
      <c r="C224" t="e">
        <f>MATCH(A224,PitRawData!$A$1:$AMK$1,0)</f>
        <v>#N/A</v>
      </c>
      <c r="D224" t="e">
        <f>INDEX(PitRawData!$A$1:$AMK$3,3,MATCH(DO_NOT_EDIT!A224,PitRawData!$A$1:$AMK$1,0))</f>
        <v>#N/A</v>
      </c>
      <c r="E224" t="s">
        <v>747</v>
      </c>
    </row>
    <row r="225" spans="1:5" x14ac:dyDescent="0.25">
      <c r="A225" t="s">
        <v>469</v>
      </c>
      <c r="B225">
        <f>COUNTIF(PitRawData!$1:$1,DO_NOT_EDIT!A225)</f>
        <v>0</v>
      </c>
      <c r="C225" t="e">
        <f>MATCH(A225,PitRawData!$A$1:$AMK$1,0)</f>
        <v>#N/A</v>
      </c>
      <c r="D225" t="e">
        <f>INDEX(PitRawData!$A$1:$AMK$3,3,MATCH(DO_NOT_EDIT!A225,PitRawData!$A$1:$AMK$1,0))</f>
        <v>#N/A</v>
      </c>
      <c r="E225" t="s">
        <v>747</v>
      </c>
    </row>
    <row r="226" spans="1:5" x14ac:dyDescent="0.25">
      <c r="A226" t="s">
        <v>446</v>
      </c>
      <c r="B226">
        <f>COUNTIF(PitRawData!$1:$1,DO_NOT_EDIT!A226)</f>
        <v>0</v>
      </c>
      <c r="C226" t="e">
        <f>MATCH(A226,PitRawData!$A$1:$AMK$1,0)</f>
        <v>#N/A</v>
      </c>
      <c r="D226" t="e">
        <f>INDEX(PitRawData!$A$1:$AMK$3,3,MATCH(DO_NOT_EDIT!A226,PitRawData!$A$1:$AMK$1,0))</f>
        <v>#N/A</v>
      </c>
      <c r="E226" t="s">
        <v>747</v>
      </c>
    </row>
    <row r="227" spans="1:5" x14ac:dyDescent="0.25">
      <c r="A227" t="s">
        <v>519</v>
      </c>
      <c r="B227">
        <f>COUNTIF(PitRawData!$1:$1,DO_NOT_EDIT!A227)</f>
        <v>0</v>
      </c>
      <c r="C227" t="e">
        <f>MATCH(A227,PitRawData!$A$1:$AMK$1,0)</f>
        <v>#N/A</v>
      </c>
      <c r="D227" t="e">
        <f>INDEX(PitRawData!$A$1:$AMK$3,3,MATCH(DO_NOT_EDIT!A227,PitRawData!$A$1:$AMK$1,0))</f>
        <v>#N/A</v>
      </c>
      <c r="E227" t="s">
        <v>747</v>
      </c>
    </row>
    <row r="228" spans="1:5" x14ac:dyDescent="0.25">
      <c r="A228" t="s">
        <v>496</v>
      </c>
      <c r="B228">
        <f>COUNTIF(PitRawData!$1:$1,DO_NOT_EDIT!A228)</f>
        <v>0</v>
      </c>
      <c r="C228" t="e">
        <f>MATCH(A228,PitRawData!$A$1:$AMK$1,0)</f>
        <v>#N/A</v>
      </c>
      <c r="D228" t="e">
        <f>INDEX(PitRawData!$A$1:$AMK$3,3,MATCH(DO_NOT_EDIT!A228,PitRawData!$A$1:$AMK$1,0))</f>
        <v>#N/A</v>
      </c>
      <c r="E228" t="s">
        <v>747</v>
      </c>
    </row>
    <row r="229" spans="1:5" x14ac:dyDescent="0.25">
      <c r="A229" t="s">
        <v>474</v>
      </c>
      <c r="B229">
        <f>COUNTIF(PitRawData!$1:$1,DO_NOT_EDIT!A229)</f>
        <v>0</v>
      </c>
      <c r="C229" t="e">
        <f>MATCH(A229,PitRawData!$A$1:$AMK$1,0)</f>
        <v>#N/A</v>
      </c>
      <c r="D229" t="e">
        <f>INDEX(PitRawData!$A$1:$AMK$3,3,MATCH(DO_NOT_EDIT!A229,PitRawData!$A$1:$AMK$1,0))</f>
        <v>#N/A</v>
      </c>
      <c r="E229" t="s">
        <v>747</v>
      </c>
    </row>
    <row r="230" spans="1:5" x14ac:dyDescent="0.25">
      <c r="A230" t="s">
        <v>451</v>
      </c>
      <c r="B230">
        <f>COUNTIF(PitRawData!$1:$1,DO_NOT_EDIT!A230)</f>
        <v>0</v>
      </c>
      <c r="C230" t="e">
        <f>MATCH(A230,PitRawData!$A$1:$AMK$1,0)</f>
        <v>#N/A</v>
      </c>
      <c r="D230" t="e">
        <f>INDEX(PitRawData!$A$1:$AMK$3,3,MATCH(DO_NOT_EDIT!A230,PitRawData!$A$1:$AMK$1,0))</f>
        <v>#N/A</v>
      </c>
      <c r="E230" t="s">
        <v>747</v>
      </c>
    </row>
    <row r="231" spans="1:5" x14ac:dyDescent="0.25">
      <c r="A231" t="s">
        <v>511</v>
      </c>
      <c r="B231">
        <f>COUNTIF(PitRawData!$1:$1,DO_NOT_EDIT!A231)</f>
        <v>0</v>
      </c>
      <c r="C231" t="e">
        <f>MATCH(A231,PitRawData!$A$1:$AMK$1,0)</f>
        <v>#N/A</v>
      </c>
      <c r="D231" t="e">
        <f>INDEX(PitRawData!$A$1:$AMK$3,3,MATCH(DO_NOT_EDIT!A231,PitRawData!$A$1:$AMK$1,0))</f>
        <v>#N/A</v>
      </c>
      <c r="E231" t="s">
        <v>747</v>
      </c>
    </row>
    <row r="232" spans="1:5" x14ac:dyDescent="0.25">
      <c r="A232" t="s">
        <v>488</v>
      </c>
      <c r="B232">
        <f>COUNTIF(PitRawData!$1:$1,DO_NOT_EDIT!A232)</f>
        <v>0</v>
      </c>
      <c r="C232" t="e">
        <f>MATCH(A232,PitRawData!$A$1:$AMK$1,0)</f>
        <v>#N/A</v>
      </c>
      <c r="D232" t="e">
        <f>INDEX(PitRawData!$A$1:$AMK$3,3,MATCH(DO_NOT_EDIT!A232,PitRawData!$A$1:$AMK$1,0))</f>
        <v>#N/A</v>
      </c>
      <c r="E232" t="s">
        <v>747</v>
      </c>
    </row>
    <row r="233" spans="1:5" x14ac:dyDescent="0.25">
      <c r="A233" t="s">
        <v>466</v>
      </c>
      <c r="B233">
        <f>COUNTIF(PitRawData!$1:$1,DO_NOT_EDIT!A233)</f>
        <v>0</v>
      </c>
      <c r="C233" t="e">
        <f>MATCH(A233,PitRawData!$A$1:$AMK$1,0)</f>
        <v>#N/A</v>
      </c>
      <c r="D233" t="e">
        <f>INDEX(PitRawData!$A$1:$AMK$3,3,MATCH(DO_NOT_EDIT!A233,PitRawData!$A$1:$AMK$1,0))</f>
        <v>#N/A</v>
      </c>
      <c r="E233" t="s">
        <v>747</v>
      </c>
    </row>
    <row r="234" spans="1:5" x14ac:dyDescent="0.25">
      <c r="A234" t="s">
        <v>443</v>
      </c>
      <c r="B234">
        <f>COUNTIF(PitRawData!$1:$1,DO_NOT_EDIT!A234)</f>
        <v>0</v>
      </c>
      <c r="C234" t="e">
        <f>MATCH(A234,PitRawData!$A$1:$AMK$1,0)</f>
        <v>#N/A</v>
      </c>
      <c r="D234" t="e">
        <f>INDEX(PitRawData!$A$1:$AMK$3,3,MATCH(DO_NOT_EDIT!A234,PitRawData!$A$1:$AMK$1,0))</f>
        <v>#N/A</v>
      </c>
      <c r="E234" t="s">
        <v>747</v>
      </c>
    </row>
    <row r="235" spans="1:5" x14ac:dyDescent="0.25">
      <c r="A235" t="s">
        <v>512</v>
      </c>
      <c r="B235">
        <f>COUNTIF(PitRawData!$1:$1,DO_NOT_EDIT!A235)</f>
        <v>0</v>
      </c>
      <c r="C235" t="e">
        <f>MATCH(A235,PitRawData!$A$1:$AMK$1,0)</f>
        <v>#N/A</v>
      </c>
      <c r="D235" t="e">
        <f>INDEX(PitRawData!$A$1:$AMK$3,3,MATCH(DO_NOT_EDIT!A235,PitRawData!$A$1:$AMK$1,0))</f>
        <v>#N/A</v>
      </c>
      <c r="E235" t="s">
        <v>747</v>
      </c>
    </row>
    <row r="236" spans="1:5" x14ac:dyDescent="0.25">
      <c r="A236" t="s">
        <v>489</v>
      </c>
      <c r="B236">
        <f>COUNTIF(PitRawData!$1:$1,DO_NOT_EDIT!A236)</f>
        <v>0</v>
      </c>
      <c r="C236" t="e">
        <f>MATCH(A236,PitRawData!$A$1:$AMK$1,0)</f>
        <v>#N/A</v>
      </c>
      <c r="D236" t="e">
        <f>INDEX(PitRawData!$A$1:$AMK$3,3,MATCH(DO_NOT_EDIT!A236,PitRawData!$A$1:$AMK$1,0))</f>
        <v>#N/A</v>
      </c>
      <c r="E236" t="s">
        <v>747</v>
      </c>
    </row>
    <row r="237" spans="1:5" x14ac:dyDescent="0.25">
      <c r="A237" t="s">
        <v>467</v>
      </c>
      <c r="B237">
        <f>COUNTIF(PitRawData!$1:$1,DO_NOT_EDIT!A237)</f>
        <v>0</v>
      </c>
      <c r="C237" t="e">
        <f>MATCH(A237,PitRawData!$A$1:$AMK$1,0)</f>
        <v>#N/A</v>
      </c>
      <c r="D237" t="e">
        <f>INDEX(PitRawData!$A$1:$AMK$3,3,MATCH(DO_NOT_EDIT!A237,PitRawData!$A$1:$AMK$1,0))</f>
        <v>#N/A</v>
      </c>
      <c r="E237" t="s">
        <v>747</v>
      </c>
    </row>
    <row r="238" spans="1:5" x14ac:dyDescent="0.25">
      <c r="A238" t="s">
        <v>444</v>
      </c>
      <c r="B238">
        <f>COUNTIF(PitRawData!$1:$1,DO_NOT_EDIT!A238)</f>
        <v>0</v>
      </c>
      <c r="C238" t="e">
        <f>MATCH(A238,PitRawData!$A$1:$AMK$1,0)</f>
        <v>#N/A</v>
      </c>
      <c r="D238" t="e">
        <f>INDEX(PitRawData!$A$1:$AMK$3,3,MATCH(DO_NOT_EDIT!A238,PitRawData!$A$1:$AMK$1,0))</f>
        <v>#N/A</v>
      </c>
      <c r="E238" t="s">
        <v>747</v>
      </c>
    </row>
    <row r="239" spans="1:5" x14ac:dyDescent="0.25">
      <c r="A239" t="s">
        <v>507</v>
      </c>
      <c r="B239">
        <f>COUNTIF(PitRawData!$1:$1,DO_NOT_EDIT!A239)</f>
        <v>0</v>
      </c>
      <c r="C239" t="e">
        <f>MATCH(A239,PitRawData!$A$1:$AMK$1,0)</f>
        <v>#N/A</v>
      </c>
      <c r="D239" t="e">
        <f>INDEX(PitRawData!$A$1:$AMK$3,3,MATCH(DO_NOT_EDIT!A239,PitRawData!$A$1:$AMK$1,0))</f>
        <v>#N/A</v>
      </c>
      <c r="E239" t="s">
        <v>747</v>
      </c>
    </row>
    <row r="240" spans="1:5" x14ac:dyDescent="0.25">
      <c r="A240" t="s">
        <v>484</v>
      </c>
      <c r="B240">
        <f>COUNTIF(PitRawData!$1:$1,DO_NOT_EDIT!A240)</f>
        <v>0</v>
      </c>
      <c r="C240" t="e">
        <f>MATCH(A240,PitRawData!$A$1:$AMK$1,0)</f>
        <v>#N/A</v>
      </c>
      <c r="D240" t="e">
        <f>INDEX(PitRawData!$A$1:$AMK$3,3,MATCH(DO_NOT_EDIT!A240,PitRawData!$A$1:$AMK$1,0))</f>
        <v>#N/A</v>
      </c>
      <c r="E240" t="s">
        <v>747</v>
      </c>
    </row>
    <row r="241" spans="1:5" x14ac:dyDescent="0.25">
      <c r="A241" t="s">
        <v>462</v>
      </c>
      <c r="B241">
        <f>COUNTIF(PitRawData!$1:$1,DO_NOT_EDIT!A241)</f>
        <v>0</v>
      </c>
      <c r="C241" t="e">
        <f>MATCH(A241,PitRawData!$A$1:$AMK$1,0)</f>
        <v>#N/A</v>
      </c>
      <c r="D241" t="e">
        <f>INDEX(PitRawData!$A$1:$AMK$3,3,MATCH(DO_NOT_EDIT!A241,PitRawData!$A$1:$AMK$1,0))</f>
        <v>#N/A</v>
      </c>
      <c r="E241" t="s">
        <v>747</v>
      </c>
    </row>
    <row r="242" spans="1:5" x14ac:dyDescent="0.25">
      <c r="A242" t="s">
        <v>439</v>
      </c>
      <c r="B242">
        <f>COUNTIF(PitRawData!$1:$1,DO_NOT_EDIT!A242)</f>
        <v>0</v>
      </c>
      <c r="C242" t="e">
        <f>MATCH(A242,PitRawData!$A$1:$AMK$1,0)</f>
        <v>#N/A</v>
      </c>
      <c r="D242" t="e">
        <f>INDEX(PitRawData!$A$1:$AMK$3,3,MATCH(DO_NOT_EDIT!A242,PitRawData!$A$1:$AMK$1,0))</f>
        <v>#N/A</v>
      </c>
      <c r="E242" t="s">
        <v>747</v>
      </c>
    </row>
    <row r="243" spans="1:5" x14ac:dyDescent="0.25">
      <c r="A243" t="s">
        <v>508</v>
      </c>
      <c r="B243">
        <f>COUNTIF(PitRawData!$1:$1,DO_NOT_EDIT!A243)</f>
        <v>0</v>
      </c>
      <c r="C243" t="e">
        <f>MATCH(A243,PitRawData!$A$1:$AMK$1,0)</f>
        <v>#N/A</v>
      </c>
      <c r="D243" t="e">
        <f>INDEX(PitRawData!$A$1:$AMK$3,3,MATCH(DO_NOT_EDIT!A243,PitRawData!$A$1:$AMK$1,0))</f>
        <v>#N/A</v>
      </c>
      <c r="E243" t="s">
        <v>747</v>
      </c>
    </row>
    <row r="244" spans="1:5" x14ac:dyDescent="0.25">
      <c r="A244" t="s">
        <v>485</v>
      </c>
      <c r="B244">
        <f>COUNTIF(PitRawData!$1:$1,DO_NOT_EDIT!A244)</f>
        <v>0</v>
      </c>
      <c r="C244" t="e">
        <f>MATCH(A244,PitRawData!$A$1:$AMK$1,0)</f>
        <v>#N/A</v>
      </c>
      <c r="D244" t="e">
        <f>INDEX(PitRawData!$A$1:$AMK$3,3,MATCH(DO_NOT_EDIT!A244,PitRawData!$A$1:$AMK$1,0))</f>
        <v>#N/A</v>
      </c>
      <c r="E244" t="s">
        <v>747</v>
      </c>
    </row>
    <row r="245" spans="1:5" x14ac:dyDescent="0.25">
      <c r="A245" t="s">
        <v>463</v>
      </c>
      <c r="B245">
        <f>COUNTIF(PitRawData!$1:$1,DO_NOT_EDIT!A245)</f>
        <v>0</v>
      </c>
      <c r="C245" t="e">
        <f>MATCH(A245,PitRawData!$A$1:$AMK$1,0)</f>
        <v>#N/A</v>
      </c>
      <c r="D245" t="e">
        <f>INDEX(PitRawData!$A$1:$AMK$3,3,MATCH(DO_NOT_EDIT!A245,PitRawData!$A$1:$AMK$1,0))</f>
        <v>#N/A</v>
      </c>
      <c r="E245" t="s">
        <v>747</v>
      </c>
    </row>
    <row r="246" spans="1:5" x14ac:dyDescent="0.25">
      <c r="A246" t="s">
        <v>440</v>
      </c>
      <c r="B246">
        <f>COUNTIF(PitRawData!$1:$1,DO_NOT_EDIT!A246)</f>
        <v>0</v>
      </c>
      <c r="C246" t="e">
        <f>MATCH(A246,PitRawData!$A$1:$AMK$1,0)</f>
        <v>#N/A</v>
      </c>
      <c r="D246" t="e">
        <f>INDEX(PitRawData!$A$1:$AMK$3,3,MATCH(DO_NOT_EDIT!A246,PitRawData!$A$1:$AMK$1,0))</f>
        <v>#N/A</v>
      </c>
      <c r="E246" t="s">
        <v>747</v>
      </c>
    </row>
    <row r="247" spans="1:5" x14ac:dyDescent="0.25">
      <c r="A247" t="s">
        <v>505</v>
      </c>
      <c r="B247">
        <f>COUNTIF(PitRawData!$1:$1,DO_NOT_EDIT!A247)</f>
        <v>0</v>
      </c>
      <c r="C247" t="e">
        <f>MATCH(A247,PitRawData!$A$1:$AMK$1,0)</f>
        <v>#N/A</v>
      </c>
      <c r="D247" t="e">
        <f>INDEX(PitRawData!$A$1:$AMK$3,3,MATCH(DO_NOT_EDIT!A247,PitRawData!$A$1:$AMK$1,0))</f>
        <v>#N/A</v>
      </c>
      <c r="E247" t="s">
        <v>747</v>
      </c>
    </row>
    <row r="248" spans="1:5" x14ac:dyDescent="0.25">
      <c r="A248" t="s">
        <v>482</v>
      </c>
      <c r="B248">
        <f>COUNTIF(PitRawData!$1:$1,DO_NOT_EDIT!A248)</f>
        <v>0</v>
      </c>
      <c r="C248" t="e">
        <f>MATCH(A248,PitRawData!$A$1:$AMK$1,0)</f>
        <v>#N/A</v>
      </c>
      <c r="D248" t="e">
        <f>INDEX(PitRawData!$A$1:$AMK$3,3,MATCH(DO_NOT_EDIT!A248,PitRawData!$A$1:$AMK$1,0))</f>
        <v>#N/A</v>
      </c>
      <c r="E248" t="s">
        <v>747</v>
      </c>
    </row>
    <row r="249" spans="1:5" x14ac:dyDescent="0.25">
      <c r="A249" t="s">
        <v>460</v>
      </c>
      <c r="B249">
        <f>COUNTIF(PitRawData!$1:$1,DO_NOT_EDIT!A249)</f>
        <v>0</v>
      </c>
      <c r="C249" t="e">
        <f>MATCH(A249,PitRawData!$A$1:$AMK$1,0)</f>
        <v>#N/A</v>
      </c>
      <c r="D249" t="e">
        <f>INDEX(PitRawData!$A$1:$AMK$3,3,MATCH(DO_NOT_EDIT!A249,PitRawData!$A$1:$AMK$1,0))</f>
        <v>#N/A</v>
      </c>
      <c r="E249" t="s">
        <v>747</v>
      </c>
    </row>
    <row r="250" spans="1:5" x14ac:dyDescent="0.25">
      <c r="A250" t="s">
        <v>437</v>
      </c>
      <c r="B250">
        <f>COUNTIF(PitRawData!$1:$1,DO_NOT_EDIT!A250)</f>
        <v>0</v>
      </c>
      <c r="C250" t="e">
        <f>MATCH(A250,PitRawData!$A$1:$AMK$1,0)</f>
        <v>#N/A</v>
      </c>
      <c r="D250" t="e">
        <f>INDEX(PitRawData!$A$1:$AMK$3,3,MATCH(DO_NOT_EDIT!A250,PitRawData!$A$1:$AMK$1,0))</f>
        <v>#N/A</v>
      </c>
      <c r="E250" t="s">
        <v>747</v>
      </c>
    </row>
    <row r="251" spans="1:5" x14ac:dyDescent="0.25">
      <c r="A251" t="s">
        <v>506</v>
      </c>
      <c r="B251">
        <f>COUNTIF(PitRawData!$1:$1,DO_NOT_EDIT!A251)</f>
        <v>0</v>
      </c>
      <c r="C251" t="e">
        <f>MATCH(A251,PitRawData!$A$1:$AMK$1,0)</f>
        <v>#N/A</v>
      </c>
      <c r="D251" t="e">
        <f>INDEX(PitRawData!$A$1:$AMK$3,3,MATCH(DO_NOT_EDIT!A251,PitRawData!$A$1:$AMK$1,0))</f>
        <v>#N/A</v>
      </c>
      <c r="E251" t="s">
        <v>747</v>
      </c>
    </row>
    <row r="252" spans="1:5" x14ac:dyDescent="0.25">
      <c r="A252" t="s">
        <v>483</v>
      </c>
      <c r="B252">
        <f>COUNTIF(PitRawData!$1:$1,DO_NOT_EDIT!A252)</f>
        <v>0</v>
      </c>
      <c r="C252" t="e">
        <f>MATCH(A252,PitRawData!$A$1:$AMK$1,0)</f>
        <v>#N/A</v>
      </c>
      <c r="D252" t="e">
        <f>INDEX(PitRawData!$A$1:$AMK$3,3,MATCH(DO_NOT_EDIT!A252,PitRawData!$A$1:$AMK$1,0))</f>
        <v>#N/A</v>
      </c>
      <c r="E252" t="s">
        <v>747</v>
      </c>
    </row>
    <row r="253" spans="1:5" x14ac:dyDescent="0.25">
      <c r="A253" t="s">
        <v>461</v>
      </c>
      <c r="B253">
        <f>COUNTIF(PitRawData!$1:$1,DO_NOT_EDIT!A253)</f>
        <v>0</v>
      </c>
      <c r="C253" t="e">
        <f>MATCH(A253,PitRawData!$A$1:$AMK$1,0)</f>
        <v>#N/A</v>
      </c>
      <c r="D253" t="e">
        <f>INDEX(PitRawData!$A$1:$AMK$3,3,MATCH(DO_NOT_EDIT!A253,PitRawData!$A$1:$AMK$1,0))</f>
        <v>#N/A</v>
      </c>
      <c r="E253" t="s">
        <v>747</v>
      </c>
    </row>
    <row r="254" spans="1:5" x14ac:dyDescent="0.25">
      <c r="A254" t="s">
        <v>438</v>
      </c>
      <c r="B254">
        <f>COUNTIF(PitRawData!$1:$1,DO_NOT_EDIT!A254)</f>
        <v>0</v>
      </c>
      <c r="C254" t="e">
        <f>MATCH(A254,PitRawData!$A$1:$AMK$1,0)</f>
        <v>#N/A</v>
      </c>
      <c r="D254" t="e">
        <f>INDEX(PitRawData!$A$1:$AMK$3,3,MATCH(DO_NOT_EDIT!A254,PitRawData!$A$1:$AMK$1,0))</f>
        <v>#N/A</v>
      </c>
      <c r="E254" t="s">
        <v>747</v>
      </c>
    </row>
    <row r="255" spans="1:5" x14ac:dyDescent="0.25">
      <c r="A255" t="s">
        <v>510</v>
      </c>
      <c r="B255">
        <f>COUNTIF(PitRawData!$1:$1,DO_NOT_EDIT!A255)</f>
        <v>0</v>
      </c>
      <c r="C255" t="e">
        <f>MATCH(A255,PitRawData!$A$1:$AMK$1,0)</f>
        <v>#N/A</v>
      </c>
      <c r="D255" t="e">
        <f>INDEX(PitRawData!$A$1:$AMK$3,3,MATCH(DO_NOT_EDIT!A255,PitRawData!$A$1:$AMK$1,0))</f>
        <v>#N/A</v>
      </c>
      <c r="E255" t="s">
        <v>747</v>
      </c>
    </row>
    <row r="256" spans="1:5" x14ac:dyDescent="0.25">
      <c r="A256" t="s">
        <v>487</v>
      </c>
      <c r="B256">
        <f>COUNTIF(PitRawData!$1:$1,DO_NOT_EDIT!A256)</f>
        <v>0</v>
      </c>
      <c r="C256" t="e">
        <f>MATCH(A256,PitRawData!$A$1:$AMK$1,0)</f>
        <v>#N/A</v>
      </c>
      <c r="D256" t="e">
        <f>INDEX(PitRawData!$A$1:$AMK$3,3,MATCH(DO_NOT_EDIT!A256,PitRawData!$A$1:$AMK$1,0))</f>
        <v>#N/A</v>
      </c>
      <c r="E256" t="s">
        <v>747</v>
      </c>
    </row>
    <row r="257" spans="1:5" x14ac:dyDescent="0.25">
      <c r="A257" t="s">
        <v>465</v>
      </c>
      <c r="B257">
        <f>COUNTIF(PitRawData!$1:$1,DO_NOT_EDIT!A257)</f>
        <v>0</v>
      </c>
      <c r="C257" t="e">
        <f>MATCH(A257,PitRawData!$A$1:$AMK$1,0)</f>
        <v>#N/A</v>
      </c>
      <c r="D257" t="e">
        <f>INDEX(PitRawData!$A$1:$AMK$3,3,MATCH(DO_NOT_EDIT!A257,PitRawData!$A$1:$AMK$1,0))</f>
        <v>#N/A</v>
      </c>
      <c r="E257" t="s">
        <v>747</v>
      </c>
    </row>
    <row r="258" spans="1:5" x14ac:dyDescent="0.25">
      <c r="A258" t="s">
        <v>442</v>
      </c>
      <c r="B258">
        <f>COUNTIF(PitRawData!$1:$1,DO_NOT_EDIT!A258)</f>
        <v>0</v>
      </c>
      <c r="C258" t="e">
        <f>MATCH(A258,PitRawData!$A$1:$AMK$1,0)</f>
        <v>#N/A</v>
      </c>
      <c r="D258" t="e">
        <f>INDEX(PitRawData!$A$1:$AMK$3,3,MATCH(DO_NOT_EDIT!A258,PitRawData!$A$1:$AMK$1,0))</f>
        <v>#N/A</v>
      </c>
      <c r="E258" t="s">
        <v>747</v>
      </c>
    </row>
    <row r="259" spans="1:5" x14ac:dyDescent="0.25">
      <c r="A259" t="s">
        <v>509</v>
      </c>
      <c r="B259">
        <f>COUNTIF(PitRawData!$1:$1,DO_NOT_EDIT!A259)</f>
        <v>0</v>
      </c>
      <c r="C259" t="e">
        <f>MATCH(A259,PitRawData!$A$1:$AMK$1,0)</f>
        <v>#N/A</v>
      </c>
      <c r="D259" t="e">
        <f>INDEX(PitRawData!$A$1:$AMK$3,3,MATCH(DO_NOT_EDIT!A259,PitRawData!$A$1:$AMK$1,0))</f>
        <v>#N/A</v>
      </c>
      <c r="E259" t="s">
        <v>747</v>
      </c>
    </row>
    <row r="260" spans="1:5" x14ac:dyDescent="0.25">
      <c r="A260" t="s">
        <v>486</v>
      </c>
      <c r="B260">
        <f>COUNTIF(PitRawData!$1:$1,DO_NOT_EDIT!A260)</f>
        <v>0</v>
      </c>
      <c r="C260" t="e">
        <f>MATCH(A260,PitRawData!$A$1:$AMK$1,0)</f>
        <v>#N/A</v>
      </c>
      <c r="D260" t="e">
        <f>INDEX(PitRawData!$A$1:$AMK$3,3,MATCH(DO_NOT_EDIT!A260,PitRawData!$A$1:$AMK$1,0))</f>
        <v>#N/A</v>
      </c>
      <c r="E260" t="s">
        <v>747</v>
      </c>
    </row>
    <row r="261" spans="1:5" x14ac:dyDescent="0.25">
      <c r="A261" t="s">
        <v>464</v>
      </c>
      <c r="B261">
        <f>COUNTIF(PitRawData!$1:$1,DO_NOT_EDIT!A261)</f>
        <v>0</v>
      </c>
      <c r="C261" t="e">
        <f>MATCH(A261,PitRawData!$A$1:$AMK$1,0)</f>
        <v>#N/A</v>
      </c>
      <c r="D261" t="e">
        <f>INDEX(PitRawData!$A$1:$AMK$3,3,MATCH(DO_NOT_EDIT!A261,PitRawData!$A$1:$AMK$1,0))</f>
        <v>#N/A</v>
      </c>
      <c r="E261" t="s">
        <v>747</v>
      </c>
    </row>
    <row r="262" spans="1:5" x14ac:dyDescent="0.25">
      <c r="A262" t="s">
        <v>441</v>
      </c>
      <c r="B262">
        <f>COUNTIF(PitRawData!$1:$1,DO_NOT_EDIT!A262)</f>
        <v>0</v>
      </c>
      <c r="C262" t="e">
        <f>MATCH(A262,PitRawData!$A$1:$AMK$1,0)</f>
        <v>#N/A</v>
      </c>
      <c r="D262" t="e">
        <f>INDEX(PitRawData!$A$1:$AMK$3,3,MATCH(DO_NOT_EDIT!A262,PitRawData!$A$1:$AMK$1,0))</f>
        <v>#N/A</v>
      </c>
      <c r="E262" t="s">
        <v>747</v>
      </c>
    </row>
    <row r="263" spans="1:5" x14ac:dyDescent="0.25">
      <c r="A263" t="s">
        <v>504</v>
      </c>
      <c r="B263">
        <f>COUNTIF(PitRawData!$1:$1,DO_NOT_EDIT!A263)</f>
        <v>0</v>
      </c>
      <c r="C263" t="e">
        <f>MATCH(A263,PitRawData!$A$1:$AMK$1,0)</f>
        <v>#N/A</v>
      </c>
      <c r="D263" t="e">
        <f>INDEX(PitRawData!$A$1:$AMK$3,3,MATCH(DO_NOT_EDIT!A263,PitRawData!$A$1:$AMK$1,0))</f>
        <v>#N/A</v>
      </c>
      <c r="E263" t="s">
        <v>747</v>
      </c>
    </row>
    <row r="264" spans="1:5" x14ac:dyDescent="0.25">
      <c r="A264" t="s">
        <v>459</v>
      </c>
      <c r="B264">
        <f>COUNTIF(PitRawData!$1:$1,DO_NOT_EDIT!A264)</f>
        <v>0</v>
      </c>
      <c r="C264" t="e">
        <f>MATCH(A264,PitRawData!$A$1:$AMK$1,0)</f>
        <v>#N/A</v>
      </c>
      <c r="D264" t="e">
        <f>INDEX(PitRawData!$A$1:$AMK$3,3,MATCH(DO_NOT_EDIT!A264,PitRawData!$A$1:$AMK$1,0))</f>
        <v>#N/A</v>
      </c>
      <c r="E264" t="s">
        <v>747</v>
      </c>
    </row>
    <row r="265" spans="1:5" x14ac:dyDescent="0.25">
      <c r="A265" t="s">
        <v>436</v>
      </c>
      <c r="B265">
        <f>COUNTIF(PitRawData!$1:$1,DO_NOT_EDIT!A265)</f>
        <v>0</v>
      </c>
      <c r="C265" t="e">
        <f>MATCH(A265,PitRawData!$A$1:$AMK$1,0)</f>
        <v>#N/A</v>
      </c>
      <c r="D265" t="e">
        <f>INDEX(PitRawData!$A$1:$AMK$3,3,MATCH(DO_NOT_EDIT!A265,PitRawData!$A$1:$AMK$1,0))</f>
        <v>#N/A</v>
      </c>
      <c r="E265" t="s">
        <v>747</v>
      </c>
    </row>
    <row r="266" spans="1:5" x14ac:dyDescent="0.25">
      <c r="A266" t="s">
        <v>417</v>
      </c>
      <c r="B266">
        <f>COUNTIF(PitRawData!$1:$1,DO_NOT_EDIT!A266)</f>
        <v>0</v>
      </c>
      <c r="C266" t="e">
        <f>MATCH(A266,PitRawData!$A$1:$AMK$1,0)</f>
        <v>#N/A</v>
      </c>
      <c r="D266" t="e">
        <f>INDEX(PitRawData!$A$1:$AMK$3,3,MATCH(DO_NOT_EDIT!A266,PitRawData!$A$1:$AMK$1,0))</f>
        <v>#N/A</v>
      </c>
      <c r="E266" t="s">
        <v>748</v>
      </c>
    </row>
    <row r="267" spans="1:5" x14ac:dyDescent="0.25">
      <c r="A267" t="s">
        <v>398</v>
      </c>
      <c r="B267">
        <f>COUNTIF(PitRawData!$1:$1,DO_NOT_EDIT!A267)</f>
        <v>0</v>
      </c>
      <c r="C267" t="e">
        <f>MATCH(A267,PitRawData!$A$1:$AMK$1,0)</f>
        <v>#N/A</v>
      </c>
      <c r="D267" t="e">
        <f>INDEX(PitRawData!$A$1:$AMK$3,3,MATCH(DO_NOT_EDIT!A267,PitRawData!$A$1:$AMK$1,0))</f>
        <v>#N/A</v>
      </c>
      <c r="E267" t="s">
        <v>748</v>
      </c>
    </row>
    <row r="268" spans="1:5" x14ac:dyDescent="0.25">
      <c r="A268" t="s">
        <v>380</v>
      </c>
      <c r="B268">
        <f>COUNTIF(PitRawData!$1:$1,DO_NOT_EDIT!A268)</f>
        <v>0</v>
      </c>
      <c r="C268" t="e">
        <f>MATCH(A268,PitRawData!$A$1:$AMK$1,0)</f>
        <v>#N/A</v>
      </c>
      <c r="D268" t="e">
        <f>INDEX(PitRawData!$A$1:$AMK$3,3,MATCH(DO_NOT_EDIT!A268,PitRawData!$A$1:$AMK$1,0))</f>
        <v>#N/A</v>
      </c>
      <c r="E268" t="s">
        <v>748</v>
      </c>
    </row>
    <row r="269" spans="1:5" x14ac:dyDescent="0.25">
      <c r="A269" t="s">
        <v>361</v>
      </c>
      <c r="B269">
        <f>COUNTIF(PitRawData!$1:$1,DO_NOT_EDIT!A269)</f>
        <v>0</v>
      </c>
      <c r="C269" t="e">
        <f>MATCH(A269,PitRawData!$A$1:$AMK$1,0)</f>
        <v>#N/A</v>
      </c>
      <c r="D269" t="e">
        <f>INDEX(PitRawData!$A$1:$AMK$3,3,MATCH(DO_NOT_EDIT!A269,PitRawData!$A$1:$AMK$1,0))</f>
        <v>#N/A</v>
      </c>
      <c r="E269" t="s">
        <v>748</v>
      </c>
    </row>
    <row r="270" spans="1:5" x14ac:dyDescent="0.25">
      <c r="A270" t="s">
        <v>416</v>
      </c>
      <c r="B270">
        <f>COUNTIF(PitRawData!$1:$1,DO_NOT_EDIT!A270)</f>
        <v>0</v>
      </c>
      <c r="C270" t="e">
        <f>MATCH(A270,PitRawData!$A$1:$AMK$1,0)</f>
        <v>#N/A</v>
      </c>
      <c r="D270" t="e">
        <f>INDEX(PitRawData!$A$1:$AMK$3,3,MATCH(DO_NOT_EDIT!A270,PitRawData!$A$1:$AMK$1,0))</f>
        <v>#N/A</v>
      </c>
      <c r="E270" t="s">
        <v>748</v>
      </c>
    </row>
    <row r="271" spans="1:5" x14ac:dyDescent="0.25">
      <c r="A271" t="s">
        <v>397</v>
      </c>
      <c r="B271">
        <f>COUNTIF(PitRawData!$1:$1,DO_NOT_EDIT!A271)</f>
        <v>0</v>
      </c>
      <c r="C271" t="e">
        <f>MATCH(A271,PitRawData!$A$1:$AMK$1,0)</f>
        <v>#N/A</v>
      </c>
      <c r="D271" t="e">
        <f>INDEX(PitRawData!$A$1:$AMK$3,3,MATCH(DO_NOT_EDIT!A271,PitRawData!$A$1:$AMK$1,0))</f>
        <v>#N/A</v>
      </c>
      <c r="E271" t="s">
        <v>748</v>
      </c>
    </row>
    <row r="272" spans="1:5" x14ac:dyDescent="0.25">
      <c r="A272" t="s">
        <v>379</v>
      </c>
      <c r="B272">
        <f>COUNTIF(PitRawData!$1:$1,DO_NOT_EDIT!A272)</f>
        <v>0</v>
      </c>
      <c r="C272" t="e">
        <f>MATCH(A272,PitRawData!$A$1:$AMK$1,0)</f>
        <v>#N/A</v>
      </c>
      <c r="D272" t="e">
        <f>INDEX(PitRawData!$A$1:$AMK$3,3,MATCH(DO_NOT_EDIT!A272,PitRawData!$A$1:$AMK$1,0))</f>
        <v>#N/A</v>
      </c>
      <c r="E272" t="s">
        <v>748</v>
      </c>
    </row>
    <row r="273" spans="1:5" x14ac:dyDescent="0.25">
      <c r="A273" t="s">
        <v>360</v>
      </c>
      <c r="B273">
        <f>COUNTIF(PitRawData!$1:$1,DO_NOT_EDIT!A273)</f>
        <v>0</v>
      </c>
      <c r="C273" t="e">
        <f>MATCH(A273,PitRawData!$A$1:$AMK$1,0)</f>
        <v>#N/A</v>
      </c>
      <c r="D273" t="e">
        <f>INDEX(PitRawData!$A$1:$AMK$3,3,MATCH(DO_NOT_EDIT!A273,PitRawData!$A$1:$AMK$1,0))</f>
        <v>#N/A</v>
      </c>
      <c r="E273" t="s">
        <v>748</v>
      </c>
    </row>
    <row r="274" spans="1:5" x14ac:dyDescent="0.25">
      <c r="A274" t="s">
        <v>415</v>
      </c>
      <c r="B274">
        <f>COUNTIF(PitRawData!$1:$1,DO_NOT_EDIT!A274)</f>
        <v>0</v>
      </c>
      <c r="C274" t="e">
        <f>MATCH(A274,PitRawData!$A$1:$AMK$1,0)</f>
        <v>#N/A</v>
      </c>
      <c r="D274" t="e">
        <f>INDEX(PitRawData!$A$1:$AMK$3,3,MATCH(DO_NOT_EDIT!A274,PitRawData!$A$1:$AMK$1,0))</f>
        <v>#N/A</v>
      </c>
      <c r="E274" t="s">
        <v>748</v>
      </c>
    </row>
    <row r="275" spans="1:5" x14ac:dyDescent="0.25">
      <c r="A275" t="s">
        <v>396</v>
      </c>
      <c r="B275">
        <f>COUNTIF(PitRawData!$1:$1,DO_NOT_EDIT!A275)</f>
        <v>0</v>
      </c>
      <c r="C275" t="e">
        <f>MATCH(A275,PitRawData!$A$1:$AMK$1,0)</f>
        <v>#N/A</v>
      </c>
      <c r="D275" t="e">
        <f>INDEX(PitRawData!$A$1:$AMK$3,3,MATCH(DO_NOT_EDIT!A275,PitRawData!$A$1:$AMK$1,0))</f>
        <v>#N/A</v>
      </c>
      <c r="E275" t="s">
        <v>748</v>
      </c>
    </row>
    <row r="276" spans="1:5" x14ac:dyDescent="0.25">
      <c r="A276" t="s">
        <v>378</v>
      </c>
      <c r="B276">
        <f>COUNTIF(PitRawData!$1:$1,DO_NOT_EDIT!A276)</f>
        <v>0</v>
      </c>
      <c r="C276" t="e">
        <f>MATCH(A276,PitRawData!$A$1:$AMK$1,0)</f>
        <v>#N/A</v>
      </c>
      <c r="D276" t="e">
        <f>INDEX(PitRawData!$A$1:$AMK$3,3,MATCH(DO_NOT_EDIT!A276,PitRawData!$A$1:$AMK$1,0))</f>
        <v>#N/A</v>
      </c>
      <c r="E276" t="s">
        <v>748</v>
      </c>
    </row>
    <row r="277" spans="1:5" x14ac:dyDescent="0.25">
      <c r="A277" t="s">
        <v>359</v>
      </c>
      <c r="B277">
        <f>COUNTIF(PitRawData!$1:$1,DO_NOT_EDIT!A277)</f>
        <v>0</v>
      </c>
      <c r="C277" t="e">
        <f>MATCH(A277,PitRawData!$A$1:$AMK$1,0)</f>
        <v>#N/A</v>
      </c>
      <c r="D277" t="e">
        <f>INDEX(PitRawData!$A$1:$AMK$3,3,MATCH(DO_NOT_EDIT!A277,PitRawData!$A$1:$AMK$1,0))</f>
        <v>#N/A</v>
      </c>
      <c r="E277" t="s">
        <v>748</v>
      </c>
    </row>
    <row r="278" spans="1:5" x14ac:dyDescent="0.25">
      <c r="A278" t="s">
        <v>412</v>
      </c>
      <c r="B278">
        <f>COUNTIF(PitRawData!$1:$1,DO_NOT_EDIT!A278)</f>
        <v>0</v>
      </c>
      <c r="C278" t="e">
        <f>MATCH(A278,PitRawData!$A$1:$AMK$1,0)</f>
        <v>#N/A</v>
      </c>
      <c r="D278" t="e">
        <f>INDEX(PitRawData!$A$1:$AMK$3,3,MATCH(DO_NOT_EDIT!A278,PitRawData!$A$1:$AMK$1,0))</f>
        <v>#N/A</v>
      </c>
      <c r="E278" t="s">
        <v>748</v>
      </c>
    </row>
    <row r="279" spans="1:5" x14ac:dyDescent="0.25">
      <c r="A279" t="s">
        <v>393</v>
      </c>
      <c r="B279">
        <f>COUNTIF(PitRawData!$1:$1,DO_NOT_EDIT!A279)</f>
        <v>0</v>
      </c>
      <c r="C279" t="e">
        <f>MATCH(A279,PitRawData!$A$1:$AMK$1,0)</f>
        <v>#N/A</v>
      </c>
      <c r="D279" t="e">
        <f>INDEX(PitRawData!$A$1:$AMK$3,3,MATCH(DO_NOT_EDIT!A279,PitRawData!$A$1:$AMK$1,0))</f>
        <v>#N/A</v>
      </c>
      <c r="E279" t="s">
        <v>748</v>
      </c>
    </row>
    <row r="280" spans="1:5" x14ac:dyDescent="0.25">
      <c r="A280" t="s">
        <v>375</v>
      </c>
      <c r="B280">
        <f>COUNTIF(PitRawData!$1:$1,DO_NOT_EDIT!A280)</f>
        <v>0</v>
      </c>
      <c r="C280" t="e">
        <f>MATCH(A280,PitRawData!$A$1:$AMK$1,0)</f>
        <v>#N/A</v>
      </c>
      <c r="D280" t="e">
        <f>INDEX(PitRawData!$A$1:$AMK$3,3,MATCH(DO_NOT_EDIT!A280,PitRawData!$A$1:$AMK$1,0))</f>
        <v>#N/A</v>
      </c>
      <c r="E280" t="s">
        <v>748</v>
      </c>
    </row>
    <row r="281" spans="1:5" x14ac:dyDescent="0.25">
      <c r="A281" t="s">
        <v>356</v>
      </c>
      <c r="B281">
        <f>COUNTIF(PitRawData!$1:$1,DO_NOT_EDIT!A281)</f>
        <v>0</v>
      </c>
      <c r="C281" t="e">
        <f>MATCH(A281,PitRawData!$A$1:$AMK$1,0)</f>
        <v>#N/A</v>
      </c>
      <c r="D281" t="e">
        <f>INDEX(PitRawData!$A$1:$AMK$3,3,MATCH(DO_NOT_EDIT!A281,PitRawData!$A$1:$AMK$1,0))</f>
        <v>#N/A</v>
      </c>
      <c r="E281" t="s">
        <v>748</v>
      </c>
    </row>
    <row r="282" spans="1:5" x14ac:dyDescent="0.25">
      <c r="A282" t="s">
        <v>413</v>
      </c>
      <c r="B282">
        <f>COUNTIF(PitRawData!$1:$1,DO_NOT_EDIT!A282)</f>
        <v>0</v>
      </c>
      <c r="C282" t="e">
        <f>MATCH(A282,PitRawData!$A$1:$AMK$1,0)</f>
        <v>#N/A</v>
      </c>
      <c r="D282" t="e">
        <f>INDEX(PitRawData!$A$1:$AMK$3,3,MATCH(DO_NOT_EDIT!A282,PitRawData!$A$1:$AMK$1,0))</f>
        <v>#N/A</v>
      </c>
      <c r="E282" t="s">
        <v>748</v>
      </c>
    </row>
    <row r="283" spans="1:5" x14ac:dyDescent="0.25">
      <c r="A283" t="s">
        <v>394</v>
      </c>
      <c r="B283">
        <f>COUNTIF(PitRawData!$1:$1,DO_NOT_EDIT!A283)</f>
        <v>0</v>
      </c>
      <c r="C283" t="e">
        <f>MATCH(A283,PitRawData!$A$1:$AMK$1,0)</f>
        <v>#N/A</v>
      </c>
      <c r="D283" t="e">
        <f>INDEX(PitRawData!$A$1:$AMK$3,3,MATCH(DO_NOT_EDIT!A283,PitRawData!$A$1:$AMK$1,0))</f>
        <v>#N/A</v>
      </c>
      <c r="E283" t="s">
        <v>748</v>
      </c>
    </row>
    <row r="284" spans="1:5" x14ac:dyDescent="0.25">
      <c r="A284" t="s">
        <v>376</v>
      </c>
      <c r="B284">
        <f>COUNTIF(PitRawData!$1:$1,DO_NOT_EDIT!A284)</f>
        <v>0</v>
      </c>
      <c r="C284" t="e">
        <f>MATCH(A284,PitRawData!$A$1:$AMK$1,0)</f>
        <v>#N/A</v>
      </c>
      <c r="D284" t="e">
        <f>INDEX(PitRawData!$A$1:$AMK$3,3,MATCH(DO_NOT_EDIT!A284,PitRawData!$A$1:$AMK$1,0))</f>
        <v>#N/A</v>
      </c>
      <c r="E284" t="s">
        <v>748</v>
      </c>
    </row>
    <row r="285" spans="1:5" x14ac:dyDescent="0.25">
      <c r="A285" t="s">
        <v>357</v>
      </c>
      <c r="B285">
        <f>COUNTIF(PitRawData!$1:$1,DO_NOT_EDIT!A285)</f>
        <v>0</v>
      </c>
      <c r="C285" t="e">
        <f>MATCH(A285,PitRawData!$A$1:$AMK$1,0)</f>
        <v>#N/A</v>
      </c>
      <c r="D285" t="e">
        <f>INDEX(PitRawData!$A$1:$AMK$3,3,MATCH(DO_NOT_EDIT!A285,PitRawData!$A$1:$AMK$1,0))</f>
        <v>#N/A</v>
      </c>
      <c r="E285" t="s">
        <v>748</v>
      </c>
    </row>
    <row r="286" spans="1:5" x14ac:dyDescent="0.25">
      <c r="A286" t="s">
        <v>410</v>
      </c>
      <c r="B286">
        <f>COUNTIF(PitRawData!$1:$1,DO_NOT_EDIT!A286)</f>
        <v>0</v>
      </c>
      <c r="C286" t="e">
        <f>MATCH(A286,PitRawData!$A$1:$AMK$1,0)</f>
        <v>#N/A</v>
      </c>
      <c r="D286" t="e">
        <f>INDEX(PitRawData!$A$1:$AMK$3,3,MATCH(DO_NOT_EDIT!A286,PitRawData!$A$1:$AMK$1,0))</f>
        <v>#N/A</v>
      </c>
      <c r="E286" t="s">
        <v>748</v>
      </c>
    </row>
    <row r="287" spans="1:5" x14ac:dyDescent="0.25">
      <c r="A287" t="s">
        <v>391</v>
      </c>
      <c r="B287">
        <f>COUNTIF(PitRawData!$1:$1,DO_NOT_EDIT!A287)</f>
        <v>0</v>
      </c>
      <c r="C287" t="e">
        <f>MATCH(A287,PitRawData!$A$1:$AMK$1,0)</f>
        <v>#N/A</v>
      </c>
      <c r="D287" t="e">
        <f>INDEX(PitRawData!$A$1:$AMK$3,3,MATCH(DO_NOT_EDIT!A287,PitRawData!$A$1:$AMK$1,0))</f>
        <v>#N/A</v>
      </c>
      <c r="E287" t="s">
        <v>748</v>
      </c>
    </row>
    <row r="288" spans="1:5" x14ac:dyDescent="0.25">
      <c r="A288" t="s">
        <v>373</v>
      </c>
      <c r="B288">
        <f>COUNTIF(PitRawData!$1:$1,DO_NOT_EDIT!A288)</f>
        <v>0</v>
      </c>
      <c r="C288" t="e">
        <f>MATCH(A288,PitRawData!$A$1:$AMK$1,0)</f>
        <v>#N/A</v>
      </c>
      <c r="D288" t="e">
        <f>INDEX(PitRawData!$A$1:$AMK$3,3,MATCH(DO_NOT_EDIT!A288,PitRawData!$A$1:$AMK$1,0))</f>
        <v>#N/A</v>
      </c>
      <c r="E288" t="s">
        <v>748</v>
      </c>
    </row>
    <row r="289" spans="1:5" x14ac:dyDescent="0.25">
      <c r="A289" t="s">
        <v>354</v>
      </c>
      <c r="B289">
        <f>COUNTIF(PitRawData!$1:$1,DO_NOT_EDIT!A289)</f>
        <v>0</v>
      </c>
      <c r="C289" t="e">
        <f>MATCH(A289,PitRawData!$A$1:$AMK$1,0)</f>
        <v>#N/A</v>
      </c>
      <c r="D289" t="e">
        <f>INDEX(PitRawData!$A$1:$AMK$3,3,MATCH(DO_NOT_EDIT!A289,PitRawData!$A$1:$AMK$1,0))</f>
        <v>#N/A</v>
      </c>
      <c r="E289" t="s">
        <v>748</v>
      </c>
    </row>
    <row r="290" spans="1:5" x14ac:dyDescent="0.25">
      <c r="A290" t="s">
        <v>411</v>
      </c>
      <c r="B290">
        <f>COUNTIF(PitRawData!$1:$1,DO_NOT_EDIT!A290)</f>
        <v>0</v>
      </c>
      <c r="C290" t="e">
        <f>MATCH(A290,PitRawData!$A$1:$AMK$1,0)</f>
        <v>#N/A</v>
      </c>
      <c r="D290" t="e">
        <f>INDEX(PitRawData!$A$1:$AMK$3,3,MATCH(DO_NOT_EDIT!A290,PitRawData!$A$1:$AMK$1,0))</f>
        <v>#N/A</v>
      </c>
      <c r="E290" t="s">
        <v>748</v>
      </c>
    </row>
    <row r="291" spans="1:5" x14ac:dyDescent="0.25">
      <c r="A291" t="s">
        <v>392</v>
      </c>
      <c r="B291">
        <f>COUNTIF(PitRawData!$1:$1,DO_NOT_EDIT!A291)</f>
        <v>0</v>
      </c>
      <c r="C291" t="e">
        <f>MATCH(A291,PitRawData!$A$1:$AMK$1,0)</f>
        <v>#N/A</v>
      </c>
      <c r="D291" t="e">
        <f>INDEX(PitRawData!$A$1:$AMK$3,3,MATCH(DO_NOT_EDIT!A291,PitRawData!$A$1:$AMK$1,0))</f>
        <v>#N/A</v>
      </c>
      <c r="E291" t="s">
        <v>748</v>
      </c>
    </row>
    <row r="292" spans="1:5" x14ac:dyDescent="0.25">
      <c r="A292" t="s">
        <v>374</v>
      </c>
      <c r="B292">
        <f>COUNTIF(PitRawData!$1:$1,DO_NOT_EDIT!A292)</f>
        <v>0</v>
      </c>
      <c r="C292" t="e">
        <f>MATCH(A292,PitRawData!$A$1:$AMK$1,0)</f>
        <v>#N/A</v>
      </c>
      <c r="D292" t="e">
        <f>INDEX(PitRawData!$A$1:$AMK$3,3,MATCH(DO_NOT_EDIT!A292,PitRawData!$A$1:$AMK$1,0))</f>
        <v>#N/A</v>
      </c>
      <c r="E292" t="s">
        <v>748</v>
      </c>
    </row>
    <row r="293" spans="1:5" x14ac:dyDescent="0.25">
      <c r="A293" t="s">
        <v>355</v>
      </c>
      <c r="B293">
        <f>COUNTIF(PitRawData!$1:$1,DO_NOT_EDIT!A293)</f>
        <v>0</v>
      </c>
      <c r="C293" t="e">
        <f>MATCH(A293,PitRawData!$A$1:$AMK$1,0)</f>
        <v>#N/A</v>
      </c>
      <c r="D293" t="e">
        <f>INDEX(PitRawData!$A$1:$AMK$3,3,MATCH(DO_NOT_EDIT!A293,PitRawData!$A$1:$AMK$1,0))</f>
        <v>#N/A</v>
      </c>
      <c r="E293" t="s">
        <v>748</v>
      </c>
    </row>
    <row r="294" spans="1:5" x14ac:dyDescent="0.25">
      <c r="A294" t="s">
        <v>408</v>
      </c>
      <c r="B294">
        <f>COUNTIF(PitRawData!$1:$1,DO_NOT_EDIT!A294)</f>
        <v>0</v>
      </c>
      <c r="C294" t="e">
        <f>MATCH(A294,PitRawData!$A$1:$AMK$1,0)</f>
        <v>#N/A</v>
      </c>
      <c r="D294" t="e">
        <f>INDEX(PitRawData!$A$1:$AMK$3,3,MATCH(DO_NOT_EDIT!A294,PitRawData!$A$1:$AMK$1,0))</f>
        <v>#N/A</v>
      </c>
      <c r="E294" t="s">
        <v>748</v>
      </c>
    </row>
    <row r="295" spans="1:5" x14ac:dyDescent="0.25">
      <c r="A295" t="s">
        <v>389</v>
      </c>
      <c r="B295">
        <f>COUNTIF(PitRawData!$1:$1,DO_NOT_EDIT!A295)</f>
        <v>0</v>
      </c>
      <c r="C295" t="e">
        <f>MATCH(A295,PitRawData!$A$1:$AMK$1,0)</f>
        <v>#N/A</v>
      </c>
      <c r="D295" t="e">
        <f>INDEX(PitRawData!$A$1:$AMK$3,3,MATCH(DO_NOT_EDIT!A295,PitRawData!$A$1:$AMK$1,0))</f>
        <v>#N/A</v>
      </c>
      <c r="E295" t="s">
        <v>748</v>
      </c>
    </row>
    <row r="296" spans="1:5" x14ac:dyDescent="0.25">
      <c r="A296" t="s">
        <v>371</v>
      </c>
      <c r="B296">
        <f>COUNTIF(PitRawData!$1:$1,DO_NOT_EDIT!A296)</f>
        <v>0</v>
      </c>
      <c r="C296" t="e">
        <f>MATCH(A296,PitRawData!$A$1:$AMK$1,0)</f>
        <v>#N/A</v>
      </c>
      <c r="D296" t="e">
        <f>INDEX(PitRawData!$A$1:$AMK$3,3,MATCH(DO_NOT_EDIT!A296,PitRawData!$A$1:$AMK$1,0))</f>
        <v>#N/A</v>
      </c>
      <c r="E296" t="s">
        <v>748</v>
      </c>
    </row>
    <row r="297" spans="1:5" x14ac:dyDescent="0.25">
      <c r="A297" t="s">
        <v>352</v>
      </c>
      <c r="B297">
        <f>COUNTIF(PitRawData!$1:$1,DO_NOT_EDIT!A297)</f>
        <v>0</v>
      </c>
      <c r="C297" t="e">
        <f>MATCH(A297,PitRawData!$A$1:$AMK$1,0)</f>
        <v>#N/A</v>
      </c>
      <c r="D297" t="e">
        <f>INDEX(PitRawData!$A$1:$AMK$3,3,MATCH(DO_NOT_EDIT!A297,PitRawData!$A$1:$AMK$1,0))</f>
        <v>#N/A</v>
      </c>
      <c r="E297" t="s">
        <v>748</v>
      </c>
    </row>
    <row r="298" spans="1:5" x14ac:dyDescent="0.25">
      <c r="A298" t="s">
        <v>409</v>
      </c>
      <c r="B298">
        <f>COUNTIF(PitRawData!$1:$1,DO_NOT_EDIT!A298)</f>
        <v>0</v>
      </c>
      <c r="C298" t="e">
        <f>MATCH(A298,PitRawData!$A$1:$AMK$1,0)</f>
        <v>#N/A</v>
      </c>
      <c r="D298" t="e">
        <f>INDEX(PitRawData!$A$1:$AMK$3,3,MATCH(DO_NOT_EDIT!A298,PitRawData!$A$1:$AMK$1,0))</f>
        <v>#N/A</v>
      </c>
      <c r="E298" t="s">
        <v>748</v>
      </c>
    </row>
    <row r="299" spans="1:5" x14ac:dyDescent="0.25">
      <c r="A299" t="s">
        <v>390</v>
      </c>
      <c r="B299">
        <f>COUNTIF(PitRawData!$1:$1,DO_NOT_EDIT!A299)</f>
        <v>0</v>
      </c>
      <c r="C299" t="e">
        <f>MATCH(A299,PitRawData!$A$1:$AMK$1,0)</f>
        <v>#N/A</v>
      </c>
      <c r="D299" t="e">
        <f>INDEX(PitRawData!$A$1:$AMK$3,3,MATCH(DO_NOT_EDIT!A299,PitRawData!$A$1:$AMK$1,0))</f>
        <v>#N/A</v>
      </c>
      <c r="E299" t="s">
        <v>748</v>
      </c>
    </row>
    <row r="300" spans="1:5" x14ac:dyDescent="0.25">
      <c r="A300" t="s">
        <v>372</v>
      </c>
      <c r="B300">
        <f>COUNTIF(PitRawData!$1:$1,DO_NOT_EDIT!A300)</f>
        <v>0</v>
      </c>
      <c r="C300" t="e">
        <f>MATCH(A300,PitRawData!$A$1:$AMK$1,0)</f>
        <v>#N/A</v>
      </c>
      <c r="D300" t="e">
        <f>INDEX(PitRawData!$A$1:$AMK$3,3,MATCH(DO_NOT_EDIT!A300,PitRawData!$A$1:$AMK$1,0))</f>
        <v>#N/A</v>
      </c>
      <c r="E300" t="s">
        <v>748</v>
      </c>
    </row>
    <row r="301" spans="1:5" x14ac:dyDescent="0.25">
      <c r="A301" t="s">
        <v>353</v>
      </c>
      <c r="B301">
        <f>COUNTIF(PitRawData!$1:$1,DO_NOT_EDIT!A301)</f>
        <v>0</v>
      </c>
      <c r="C301" t="e">
        <f>MATCH(A301,PitRawData!$A$1:$AMK$1,0)</f>
        <v>#N/A</v>
      </c>
      <c r="D301" t="e">
        <f>INDEX(PitRawData!$A$1:$AMK$3,3,MATCH(DO_NOT_EDIT!A301,PitRawData!$A$1:$AMK$1,0))</f>
        <v>#N/A</v>
      </c>
      <c r="E301" t="s">
        <v>748</v>
      </c>
    </row>
    <row r="302" spans="1:5" x14ac:dyDescent="0.25">
      <c r="A302" t="s">
        <v>414</v>
      </c>
      <c r="B302">
        <f>COUNTIF(PitRawData!$1:$1,DO_NOT_EDIT!A302)</f>
        <v>0</v>
      </c>
      <c r="C302" t="e">
        <f>MATCH(A302,PitRawData!$A$1:$AMK$1,0)</f>
        <v>#N/A</v>
      </c>
      <c r="D302" t="e">
        <f>INDEX(PitRawData!$A$1:$AMK$3,3,MATCH(DO_NOT_EDIT!A302,PitRawData!$A$1:$AMK$1,0))</f>
        <v>#N/A</v>
      </c>
      <c r="E302" t="s">
        <v>748</v>
      </c>
    </row>
    <row r="303" spans="1:5" x14ac:dyDescent="0.25">
      <c r="A303" t="s">
        <v>395</v>
      </c>
      <c r="B303">
        <f>COUNTIF(PitRawData!$1:$1,DO_NOT_EDIT!A303)</f>
        <v>0</v>
      </c>
      <c r="C303" t="e">
        <f>MATCH(A303,PitRawData!$A$1:$AMK$1,0)</f>
        <v>#N/A</v>
      </c>
      <c r="D303" t="e">
        <f>INDEX(PitRawData!$A$1:$AMK$3,3,MATCH(DO_NOT_EDIT!A303,PitRawData!$A$1:$AMK$1,0))</f>
        <v>#N/A</v>
      </c>
      <c r="E303" t="s">
        <v>748</v>
      </c>
    </row>
    <row r="304" spans="1:5" x14ac:dyDescent="0.25">
      <c r="A304" t="s">
        <v>377</v>
      </c>
      <c r="B304">
        <f>COUNTIF(PitRawData!$1:$1,DO_NOT_EDIT!A304)</f>
        <v>0</v>
      </c>
      <c r="C304" t="e">
        <f>MATCH(A304,PitRawData!$A$1:$AMK$1,0)</f>
        <v>#N/A</v>
      </c>
      <c r="D304" t="e">
        <f>INDEX(PitRawData!$A$1:$AMK$3,3,MATCH(DO_NOT_EDIT!A304,PitRawData!$A$1:$AMK$1,0))</f>
        <v>#N/A</v>
      </c>
      <c r="E304" t="s">
        <v>748</v>
      </c>
    </row>
    <row r="305" spans="1:5" x14ac:dyDescent="0.25">
      <c r="A305" t="s">
        <v>358</v>
      </c>
      <c r="B305">
        <f>COUNTIF(PitRawData!$1:$1,DO_NOT_EDIT!A305)</f>
        <v>0</v>
      </c>
      <c r="C305" t="e">
        <f>MATCH(A305,PitRawData!$A$1:$AMK$1,0)</f>
        <v>#N/A</v>
      </c>
      <c r="D305" t="e">
        <f>INDEX(PitRawData!$A$1:$AMK$3,3,MATCH(DO_NOT_EDIT!A305,PitRawData!$A$1:$AMK$1,0))</f>
        <v>#N/A</v>
      </c>
      <c r="E305" t="s">
        <v>748</v>
      </c>
    </row>
    <row r="306" spans="1:5" x14ac:dyDescent="0.25">
      <c r="A306" t="s">
        <v>406</v>
      </c>
      <c r="B306">
        <f>COUNTIF(PitRawData!$1:$1,DO_NOT_EDIT!A306)</f>
        <v>0</v>
      </c>
      <c r="C306" t="e">
        <f>MATCH(A306,PitRawData!$A$1:$AMK$1,0)</f>
        <v>#N/A</v>
      </c>
      <c r="D306" t="e">
        <f>INDEX(PitRawData!$A$1:$AMK$3,3,MATCH(DO_NOT_EDIT!A306,PitRawData!$A$1:$AMK$1,0))</f>
        <v>#N/A</v>
      </c>
      <c r="E306" t="s">
        <v>748</v>
      </c>
    </row>
    <row r="307" spans="1:5" x14ac:dyDescent="0.25">
      <c r="A307" t="s">
        <v>387</v>
      </c>
      <c r="B307">
        <f>COUNTIF(PitRawData!$1:$1,DO_NOT_EDIT!A307)</f>
        <v>0</v>
      </c>
      <c r="C307" t="e">
        <f>MATCH(A307,PitRawData!$A$1:$AMK$1,0)</f>
        <v>#N/A</v>
      </c>
      <c r="D307" t="e">
        <f>INDEX(PitRawData!$A$1:$AMK$3,3,MATCH(DO_NOT_EDIT!A307,PitRawData!$A$1:$AMK$1,0))</f>
        <v>#N/A</v>
      </c>
      <c r="E307" t="s">
        <v>748</v>
      </c>
    </row>
    <row r="308" spans="1:5" x14ac:dyDescent="0.25">
      <c r="A308" t="s">
        <v>369</v>
      </c>
      <c r="B308">
        <f>COUNTIF(PitRawData!$1:$1,DO_NOT_EDIT!A308)</f>
        <v>0</v>
      </c>
      <c r="C308" t="e">
        <f>MATCH(A308,PitRawData!$A$1:$AMK$1,0)</f>
        <v>#N/A</v>
      </c>
      <c r="D308" t="e">
        <f>INDEX(PitRawData!$A$1:$AMK$3,3,MATCH(DO_NOT_EDIT!A308,PitRawData!$A$1:$AMK$1,0))</f>
        <v>#N/A</v>
      </c>
      <c r="E308" t="s">
        <v>748</v>
      </c>
    </row>
    <row r="309" spans="1:5" x14ac:dyDescent="0.25">
      <c r="A309" t="s">
        <v>350</v>
      </c>
      <c r="B309">
        <f>COUNTIF(PitRawData!$1:$1,DO_NOT_EDIT!A309)</f>
        <v>0</v>
      </c>
      <c r="C309" t="e">
        <f>MATCH(A309,PitRawData!$A$1:$AMK$1,0)</f>
        <v>#N/A</v>
      </c>
      <c r="D309" t="e">
        <f>INDEX(PitRawData!$A$1:$AMK$3,3,MATCH(DO_NOT_EDIT!A309,PitRawData!$A$1:$AMK$1,0))</f>
        <v>#N/A</v>
      </c>
      <c r="E309" t="s">
        <v>748</v>
      </c>
    </row>
    <row r="310" spans="1:5" x14ac:dyDescent="0.25">
      <c r="A310" t="s">
        <v>407</v>
      </c>
      <c r="B310">
        <f>COUNTIF(PitRawData!$1:$1,DO_NOT_EDIT!A310)</f>
        <v>0</v>
      </c>
      <c r="C310" t="e">
        <f>MATCH(A310,PitRawData!$A$1:$AMK$1,0)</f>
        <v>#N/A</v>
      </c>
      <c r="D310" t="e">
        <f>INDEX(PitRawData!$A$1:$AMK$3,3,MATCH(DO_NOT_EDIT!A310,PitRawData!$A$1:$AMK$1,0))</f>
        <v>#N/A</v>
      </c>
      <c r="E310" t="s">
        <v>748</v>
      </c>
    </row>
    <row r="311" spans="1:5" x14ac:dyDescent="0.25">
      <c r="A311" t="s">
        <v>388</v>
      </c>
      <c r="B311">
        <f>COUNTIF(PitRawData!$1:$1,DO_NOT_EDIT!A311)</f>
        <v>0</v>
      </c>
      <c r="C311" t="e">
        <f>MATCH(A311,PitRawData!$A$1:$AMK$1,0)</f>
        <v>#N/A</v>
      </c>
      <c r="D311" t="e">
        <f>INDEX(PitRawData!$A$1:$AMK$3,3,MATCH(DO_NOT_EDIT!A311,PitRawData!$A$1:$AMK$1,0))</f>
        <v>#N/A</v>
      </c>
      <c r="E311" t="s">
        <v>748</v>
      </c>
    </row>
    <row r="312" spans="1:5" x14ac:dyDescent="0.25">
      <c r="A312" t="s">
        <v>370</v>
      </c>
      <c r="B312">
        <f>COUNTIF(PitRawData!$1:$1,DO_NOT_EDIT!A312)</f>
        <v>0</v>
      </c>
      <c r="C312" t="e">
        <f>MATCH(A312,PitRawData!$A$1:$AMK$1,0)</f>
        <v>#N/A</v>
      </c>
      <c r="D312" t="e">
        <f>INDEX(PitRawData!$A$1:$AMK$3,3,MATCH(DO_NOT_EDIT!A312,PitRawData!$A$1:$AMK$1,0))</f>
        <v>#N/A</v>
      </c>
      <c r="E312" t="s">
        <v>748</v>
      </c>
    </row>
    <row r="313" spans="1:5" x14ac:dyDescent="0.25">
      <c r="A313" t="s">
        <v>351</v>
      </c>
      <c r="B313">
        <f>COUNTIF(PitRawData!$1:$1,DO_NOT_EDIT!A313)</f>
        <v>0</v>
      </c>
      <c r="C313" t="e">
        <f>MATCH(A313,PitRawData!$A$1:$AMK$1,0)</f>
        <v>#N/A</v>
      </c>
      <c r="D313" t="e">
        <f>INDEX(PitRawData!$A$1:$AMK$3,3,MATCH(DO_NOT_EDIT!A313,PitRawData!$A$1:$AMK$1,0))</f>
        <v>#N/A</v>
      </c>
      <c r="E313" t="s">
        <v>748</v>
      </c>
    </row>
    <row r="314" spans="1:5" x14ac:dyDescent="0.25">
      <c r="A314" t="s">
        <v>402</v>
      </c>
      <c r="B314">
        <f>COUNTIF(PitRawData!$1:$1,DO_NOT_EDIT!A314)</f>
        <v>0</v>
      </c>
      <c r="C314" t="e">
        <f>MATCH(A314,PitRawData!$A$1:$AMK$1,0)</f>
        <v>#N/A</v>
      </c>
      <c r="D314" t="e">
        <f>INDEX(PitRawData!$A$1:$AMK$3,3,MATCH(DO_NOT_EDIT!A314,PitRawData!$A$1:$AMK$1,0))</f>
        <v>#N/A</v>
      </c>
      <c r="E314" t="s">
        <v>748</v>
      </c>
    </row>
    <row r="315" spans="1:5" x14ac:dyDescent="0.25">
      <c r="A315" t="s">
        <v>383</v>
      </c>
      <c r="B315">
        <f>COUNTIF(PitRawData!$1:$1,DO_NOT_EDIT!A315)</f>
        <v>0</v>
      </c>
      <c r="C315" t="e">
        <f>MATCH(A315,PitRawData!$A$1:$AMK$1,0)</f>
        <v>#N/A</v>
      </c>
      <c r="D315" t="e">
        <f>INDEX(PitRawData!$A$1:$AMK$3,3,MATCH(DO_NOT_EDIT!A315,PitRawData!$A$1:$AMK$1,0))</f>
        <v>#N/A</v>
      </c>
      <c r="E315" t="s">
        <v>748</v>
      </c>
    </row>
    <row r="316" spans="1:5" x14ac:dyDescent="0.25">
      <c r="A316" t="s">
        <v>365</v>
      </c>
      <c r="B316">
        <f>COUNTIF(PitRawData!$1:$1,DO_NOT_EDIT!A316)</f>
        <v>0</v>
      </c>
      <c r="C316" t="e">
        <f>MATCH(A316,PitRawData!$A$1:$AMK$1,0)</f>
        <v>#N/A</v>
      </c>
      <c r="D316" t="e">
        <f>INDEX(PitRawData!$A$1:$AMK$3,3,MATCH(DO_NOT_EDIT!A316,PitRawData!$A$1:$AMK$1,0))</f>
        <v>#N/A</v>
      </c>
      <c r="E316" t="s">
        <v>748</v>
      </c>
    </row>
    <row r="317" spans="1:5" x14ac:dyDescent="0.25">
      <c r="A317" t="s">
        <v>346</v>
      </c>
      <c r="B317">
        <f>COUNTIF(PitRawData!$1:$1,DO_NOT_EDIT!A317)</f>
        <v>0</v>
      </c>
      <c r="C317" t="e">
        <f>MATCH(A317,PitRawData!$A$1:$AMK$1,0)</f>
        <v>#N/A</v>
      </c>
      <c r="D317" t="e">
        <f>INDEX(PitRawData!$A$1:$AMK$3,3,MATCH(DO_NOT_EDIT!A317,PitRawData!$A$1:$AMK$1,0))</f>
        <v>#N/A</v>
      </c>
      <c r="E317" t="s">
        <v>748</v>
      </c>
    </row>
    <row r="318" spans="1:5" x14ac:dyDescent="0.25">
      <c r="A318" t="s">
        <v>403</v>
      </c>
      <c r="B318">
        <f>COUNTIF(PitRawData!$1:$1,DO_NOT_EDIT!A318)</f>
        <v>0</v>
      </c>
      <c r="C318" t="e">
        <f>MATCH(A318,PitRawData!$A$1:$AMK$1,0)</f>
        <v>#N/A</v>
      </c>
      <c r="D318" t="e">
        <f>INDEX(PitRawData!$A$1:$AMK$3,3,MATCH(DO_NOT_EDIT!A318,PitRawData!$A$1:$AMK$1,0))</f>
        <v>#N/A</v>
      </c>
      <c r="E318" t="s">
        <v>748</v>
      </c>
    </row>
    <row r="319" spans="1:5" x14ac:dyDescent="0.25">
      <c r="A319" t="s">
        <v>384</v>
      </c>
      <c r="B319">
        <f>COUNTIF(PitRawData!$1:$1,DO_NOT_EDIT!A319)</f>
        <v>0</v>
      </c>
      <c r="C319" t="e">
        <f>MATCH(A319,PitRawData!$A$1:$AMK$1,0)</f>
        <v>#N/A</v>
      </c>
      <c r="D319" t="e">
        <f>INDEX(PitRawData!$A$1:$AMK$3,3,MATCH(DO_NOT_EDIT!A319,PitRawData!$A$1:$AMK$1,0))</f>
        <v>#N/A</v>
      </c>
      <c r="E319" t="s">
        <v>748</v>
      </c>
    </row>
    <row r="320" spans="1:5" x14ac:dyDescent="0.25">
      <c r="A320" t="s">
        <v>366</v>
      </c>
      <c r="B320">
        <f>COUNTIF(PitRawData!$1:$1,DO_NOT_EDIT!A320)</f>
        <v>0</v>
      </c>
      <c r="C320" t="e">
        <f>MATCH(A320,PitRawData!$A$1:$AMK$1,0)</f>
        <v>#N/A</v>
      </c>
      <c r="D320" t="e">
        <f>INDEX(PitRawData!$A$1:$AMK$3,3,MATCH(DO_NOT_EDIT!A320,PitRawData!$A$1:$AMK$1,0))</f>
        <v>#N/A</v>
      </c>
      <c r="E320" t="s">
        <v>748</v>
      </c>
    </row>
    <row r="321" spans="1:5" x14ac:dyDescent="0.25">
      <c r="A321" t="s">
        <v>347</v>
      </c>
      <c r="B321">
        <f>COUNTIF(PitRawData!$1:$1,DO_NOT_EDIT!A321)</f>
        <v>0</v>
      </c>
      <c r="C321" t="e">
        <f>MATCH(A321,PitRawData!$A$1:$AMK$1,0)</f>
        <v>#N/A</v>
      </c>
      <c r="D321" t="e">
        <f>INDEX(PitRawData!$A$1:$AMK$3,3,MATCH(DO_NOT_EDIT!A321,PitRawData!$A$1:$AMK$1,0))</f>
        <v>#N/A</v>
      </c>
      <c r="E321" t="s">
        <v>748</v>
      </c>
    </row>
    <row r="322" spans="1:5" x14ac:dyDescent="0.25">
      <c r="A322" t="s">
        <v>400</v>
      </c>
      <c r="B322">
        <f>COUNTIF(PitRawData!$1:$1,DO_NOT_EDIT!A322)</f>
        <v>0</v>
      </c>
      <c r="C322" t="e">
        <f>MATCH(A322,PitRawData!$A$1:$AMK$1,0)</f>
        <v>#N/A</v>
      </c>
      <c r="D322" t="e">
        <f>INDEX(PitRawData!$A$1:$AMK$3,3,MATCH(DO_NOT_EDIT!A322,PitRawData!$A$1:$AMK$1,0))</f>
        <v>#N/A</v>
      </c>
      <c r="E322" t="s">
        <v>748</v>
      </c>
    </row>
    <row r="323" spans="1:5" x14ac:dyDescent="0.25">
      <c r="A323" t="s">
        <v>381</v>
      </c>
      <c r="B323">
        <f>COUNTIF(PitRawData!$1:$1,DO_NOT_EDIT!A323)</f>
        <v>0</v>
      </c>
      <c r="C323" t="e">
        <f>MATCH(A323,PitRawData!$A$1:$AMK$1,0)</f>
        <v>#N/A</v>
      </c>
      <c r="D323" t="e">
        <f>INDEX(PitRawData!$A$1:$AMK$3,3,MATCH(DO_NOT_EDIT!A323,PitRawData!$A$1:$AMK$1,0))</f>
        <v>#N/A</v>
      </c>
      <c r="E323" t="s">
        <v>748</v>
      </c>
    </row>
    <row r="324" spans="1:5" x14ac:dyDescent="0.25">
      <c r="A324" t="s">
        <v>363</v>
      </c>
      <c r="B324">
        <f>COUNTIF(PitRawData!$1:$1,DO_NOT_EDIT!A324)</f>
        <v>0</v>
      </c>
      <c r="C324" t="e">
        <f>MATCH(A324,PitRawData!$A$1:$AMK$1,0)</f>
        <v>#N/A</v>
      </c>
      <c r="D324" t="e">
        <f>INDEX(PitRawData!$A$1:$AMK$3,3,MATCH(DO_NOT_EDIT!A324,PitRawData!$A$1:$AMK$1,0))</f>
        <v>#N/A</v>
      </c>
      <c r="E324" t="s">
        <v>748</v>
      </c>
    </row>
    <row r="325" spans="1:5" x14ac:dyDescent="0.25">
      <c r="A325" t="s">
        <v>344</v>
      </c>
      <c r="B325">
        <f>COUNTIF(PitRawData!$1:$1,DO_NOT_EDIT!A325)</f>
        <v>0</v>
      </c>
      <c r="C325" t="e">
        <f>MATCH(A325,PitRawData!$A$1:$AMK$1,0)</f>
        <v>#N/A</v>
      </c>
      <c r="D325" t="e">
        <f>INDEX(PitRawData!$A$1:$AMK$3,3,MATCH(DO_NOT_EDIT!A325,PitRawData!$A$1:$AMK$1,0))</f>
        <v>#N/A</v>
      </c>
      <c r="E325" t="s">
        <v>748</v>
      </c>
    </row>
    <row r="326" spans="1:5" x14ac:dyDescent="0.25">
      <c r="A326" t="s">
        <v>401</v>
      </c>
      <c r="B326">
        <f>COUNTIF(PitRawData!$1:$1,DO_NOT_EDIT!A326)</f>
        <v>0</v>
      </c>
      <c r="C326" t="e">
        <f>MATCH(A326,PitRawData!$A$1:$AMK$1,0)</f>
        <v>#N/A</v>
      </c>
      <c r="D326" t="e">
        <f>INDEX(PitRawData!$A$1:$AMK$3,3,MATCH(DO_NOT_EDIT!A326,PitRawData!$A$1:$AMK$1,0))</f>
        <v>#N/A</v>
      </c>
      <c r="E326" t="s">
        <v>748</v>
      </c>
    </row>
    <row r="327" spans="1:5" x14ac:dyDescent="0.25">
      <c r="A327" t="s">
        <v>382</v>
      </c>
      <c r="B327">
        <f>COUNTIF(PitRawData!$1:$1,DO_NOT_EDIT!A327)</f>
        <v>0</v>
      </c>
      <c r="C327" t="e">
        <f>MATCH(A327,PitRawData!$A$1:$AMK$1,0)</f>
        <v>#N/A</v>
      </c>
      <c r="D327" t="e">
        <f>INDEX(PitRawData!$A$1:$AMK$3,3,MATCH(DO_NOT_EDIT!A327,PitRawData!$A$1:$AMK$1,0))</f>
        <v>#N/A</v>
      </c>
      <c r="E327" t="s">
        <v>748</v>
      </c>
    </row>
    <row r="328" spans="1:5" x14ac:dyDescent="0.25">
      <c r="A328" t="s">
        <v>364</v>
      </c>
      <c r="B328">
        <f>COUNTIF(PitRawData!$1:$1,DO_NOT_EDIT!A328)</f>
        <v>0</v>
      </c>
      <c r="C328" t="e">
        <f>MATCH(A328,PitRawData!$A$1:$AMK$1,0)</f>
        <v>#N/A</v>
      </c>
      <c r="D328" t="e">
        <f>INDEX(PitRawData!$A$1:$AMK$3,3,MATCH(DO_NOT_EDIT!A328,PitRawData!$A$1:$AMK$1,0))</f>
        <v>#N/A</v>
      </c>
      <c r="E328" t="s">
        <v>748</v>
      </c>
    </row>
    <row r="329" spans="1:5" x14ac:dyDescent="0.25">
      <c r="A329" t="s">
        <v>345</v>
      </c>
      <c r="B329">
        <f>COUNTIF(PitRawData!$1:$1,DO_NOT_EDIT!A329)</f>
        <v>0</v>
      </c>
      <c r="C329" t="e">
        <f>MATCH(A329,PitRawData!$A$1:$AMK$1,0)</f>
        <v>#N/A</v>
      </c>
      <c r="D329" t="e">
        <f>INDEX(PitRawData!$A$1:$AMK$3,3,MATCH(DO_NOT_EDIT!A329,PitRawData!$A$1:$AMK$1,0))</f>
        <v>#N/A</v>
      </c>
      <c r="E329" t="s">
        <v>748</v>
      </c>
    </row>
    <row r="330" spans="1:5" x14ac:dyDescent="0.25">
      <c r="A330" t="s">
        <v>405</v>
      </c>
      <c r="B330">
        <f>COUNTIF(PitRawData!$1:$1,DO_NOT_EDIT!A330)</f>
        <v>0</v>
      </c>
      <c r="C330" t="e">
        <f>MATCH(A330,PitRawData!$A$1:$AMK$1,0)</f>
        <v>#N/A</v>
      </c>
      <c r="D330" t="e">
        <f>INDEX(PitRawData!$A$1:$AMK$3,3,MATCH(DO_NOT_EDIT!A330,PitRawData!$A$1:$AMK$1,0))</f>
        <v>#N/A</v>
      </c>
      <c r="E330" t="s">
        <v>748</v>
      </c>
    </row>
    <row r="331" spans="1:5" x14ac:dyDescent="0.25">
      <c r="A331" t="s">
        <v>386</v>
      </c>
      <c r="B331">
        <f>COUNTIF(PitRawData!$1:$1,DO_NOT_EDIT!A331)</f>
        <v>0</v>
      </c>
      <c r="C331" t="e">
        <f>MATCH(A331,PitRawData!$A$1:$AMK$1,0)</f>
        <v>#N/A</v>
      </c>
      <c r="D331" t="e">
        <f>INDEX(PitRawData!$A$1:$AMK$3,3,MATCH(DO_NOT_EDIT!A331,PitRawData!$A$1:$AMK$1,0))</f>
        <v>#N/A</v>
      </c>
      <c r="E331" t="s">
        <v>748</v>
      </c>
    </row>
    <row r="332" spans="1:5" x14ac:dyDescent="0.25">
      <c r="A332" t="s">
        <v>368</v>
      </c>
      <c r="B332">
        <f>COUNTIF(PitRawData!$1:$1,DO_NOT_EDIT!A332)</f>
        <v>0</v>
      </c>
      <c r="C332" t="e">
        <f>MATCH(A332,PitRawData!$A$1:$AMK$1,0)</f>
        <v>#N/A</v>
      </c>
      <c r="D332" t="e">
        <f>INDEX(PitRawData!$A$1:$AMK$3,3,MATCH(DO_NOT_EDIT!A332,PitRawData!$A$1:$AMK$1,0))</f>
        <v>#N/A</v>
      </c>
      <c r="E332" t="s">
        <v>748</v>
      </c>
    </row>
    <row r="333" spans="1:5" x14ac:dyDescent="0.25">
      <c r="A333" t="s">
        <v>349</v>
      </c>
      <c r="B333">
        <f>COUNTIF(PitRawData!$1:$1,DO_NOT_EDIT!A333)</f>
        <v>0</v>
      </c>
      <c r="C333" t="e">
        <f>MATCH(A333,PitRawData!$A$1:$AMK$1,0)</f>
        <v>#N/A</v>
      </c>
      <c r="D333" t="e">
        <f>INDEX(PitRawData!$A$1:$AMK$3,3,MATCH(DO_NOT_EDIT!A333,PitRawData!$A$1:$AMK$1,0))</f>
        <v>#N/A</v>
      </c>
      <c r="E333" t="s">
        <v>748</v>
      </c>
    </row>
    <row r="334" spans="1:5" x14ac:dyDescent="0.25">
      <c r="A334" t="s">
        <v>404</v>
      </c>
      <c r="B334">
        <f>COUNTIF(PitRawData!$1:$1,DO_NOT_EDIT!A334)</f>
        <v>0</v>
      </c>
      <c r="C334" t="e">
        <f>MATCH(A334,PitRawData!$A$1:$AMK$1,0)</f>
        <v>#N/A</v>
      </c>
      <c r="D334" t="e">
        <f>INDEX(PitRawData!$A$1:$AMK$3,3,MATCH(DO_NOT_EDIT!A334,PitRawData!$A$1:$AMK$1,0))</f>
        <v>#N/A</v>
      </c>
      <c r="E334" t="s">
        <v>748</v>
      </c>
    </row>
    <row r="335" spans="1:5" x14ac:dyDescent="0.25">
      <c r="A335" t="s">
        <v>385</v>
      </c>
      <c r="B335">
        <f>COUNTIF(PitRawData!$1:$1,DO_NOT_EDIT!A335)</f>
        <v>0</v>
      </c>
      <c r="C335" t="e">
        <f>MATCH(A335,PitRawData!$A$1:$AMK$1,0)</f>
        <v>#N/A</v>
      </c>
      <c r="D335" t="e">
        <f>INDEX(PitRawData!$A$1:$AMK$3,3,MATCH(DO_NOT_EDIT!A335,PitRawData!$A$1:$AMK$1,0))</f>
        <v>#N/A</v>
      </c>
      <c r="E335" t="s">
        <v>748</v>
      </c>
    </row>
    <row r="336" spans="1:5" x14ac:dyDescent="0.25">
      <c r="A336" t="s">
        <v>367</v>
      </c>
      <c r="B336">
        <f>COUNTIF(PitRawData!$1:$1,DO_NOT_EDIT!A336)</f>
        <v>0</v>
      </c>
      <c r="C336" t="e">
        <f>MATCH(A336,PitRawData!$A$1:$AMK$1,0)</f>
        <v>#N/A</v>
      </c>
      <c r="D336" t="e">
        <f>INDEX(PitRawData!$A$1:$AMK$3,3,MATCH(DO_NOT_EDIT!A336,PitRawData!$A$1:$AMK$1,0))</f>
        <v>#N/A</v>
      </c>
      <c r="E336" t="s">
        <v>748</v>
      </c>
    </row>
    <row r="337" spans="1:5" x14ac:dyDescent="0.25">
      <c r="A337" t="s">
        <v>348</v>
      </c>
      <c r="B337">
        <f>COUNTIF(PitRawData!$1:$1,DO_NOT_EDIT!A337)</f>
        <v>0</v>
      </c>
      <c r="C337" t="e">
        <f>MATCH(A337,PitRawData!$A$1:$AMK$1,0)</f>
        <v>#N/A</v>
      </c>
      <c r="D337" t="e">
        <f>INDEX(PitRawData!$A$1:$AMK$3,3,MATCH(DO_NOT_EDIT!A337,PitRawData!$A$1:$AMK$1,0))</f>
        <v>#N/A</v>
      </c>
      <c r="E337" t="s">
        <v>748</v>
      </c>
    </row>
    <row r="338" spans="1:5" x14ac:dyDescent="0.25">
      <c r="A338" t="s">
        <v>399</v>
      </c>
      <c r="B338">
        <f>COUNTIF(PitRawData!$1:$1,DO_NOT_EDIT!A338)</f>
        <v>0</v>
      </c>
      <c r="C338" t="e">
        <f>MATCH(A338,PitRawData!$A$1:$AMK$1,0)</f>
        <v>#N/A</v>
      </c>
      <c r="D338" t="e">
        <f>INDEX(PitRawData!$A$1:$AMK$3,3,MATCH(DO_NOT_EDIT!A338,PitRawData!$A$1:$AMK$1,0))</f>
        <v>#N/A</v>
      </c>
      <c r="E338" t="s">
        <v>748</v>
      </c>
    </row>
    <row r="339" spans="1:5" x14ac:dyDescent="0.25">
      <c r="A339" t="s">
        <v>362</v>
      </c>
      <c r="B339">
        <f>COUNTIF(PitRawData!$1:$1,DO_NOT_EDIT!A339)</f>
        <v>0</v>
      </c>
      <c r="C339" t="e">
        <f>MATCH(A339,PitRawData!$A$1:$AMK$1,0)</f>
        <v>#N/A</v>
      </c>
      <c r="D339" t="e">
        <f>INDEX(PitRawData!$A$1:$AMK$3,3,MATCH(DO_NOT_EDIT!A339,PitRawData!$A$1:$AMK$1,0))</f>
        <v>#N/A</v>
      </c>
      <c r="E339" t="s">
        <v>748</v>
      </c>
    </row>
    <row r="340" spans="1:5" x14ac:dyDescent="0.25">
      <c r="A340" t="s">
        <v>343</v>
      </c>
      <c r="B340">
        <f>COUNTIF(PitRawData!$1:$1,DO_NOT_EDIT!A340)</f>
        <v>0</v>
      </c>
      <c r="C340" t="e">
        <f>MATCH(A340,PitRawData!$A$1:$AMK$1,0)</f>
        <v>#N/A</v>
      </c>
      <c r="D340" t="e">
        <f>INDEX(PitRawData!$A$1:$AMK$3,3,MATCH(DO_NOT_EDIT!A340,PitRawData!$A$1:$AMK$1,0))</f>
        <v>#N/A</v>
      </c>
      <c r="E340" t="s">
        <v>748</v>
      </c>
    </row>
    <row r="341" spans="1:5" x14ac:dyDescent="0.25">
      <c r="A341" t="s">
        <v>341</v>
      </c>
      <c r="B341">
        <f>COUNTIF(PitRawData!$1:$1,DO_NOT_EDIT!A341)</f>
        <v>0</v>
      </c>
      <c r="C341" t="e">
        <f>MATCH(A341,PitRawData!$A$1:$AMK$1,0)</f>
        <v>#N/A</v>
      </c>
      <c r="D341" t="e">
        <f>INDEX(PitRawData!$A$1:$AMK$3,3,MATCH(DO_NOT_EDIT!A341,PitRawData!$A$1:$AMK$1,0))</f>
        <v>#N/A</v>
      </c>
      <c r="E341" t="s">
        <v>749</v>
      </c>
    </row>
    <row r="342" spans="1:5" x14ac:dyDescent="0.25">
      <c r="A342" t="s">
        <v>319</v>
      </c>
      <c r="B342">
        <f>COUNTIF(PitRawData!$1:$1,DO_NOT_EDIT!A342)</f>
        <v>0</v>
      </c>
      <c r="C342" t="e">
        <f>MATCH(A342,PitRawData!$A$1:$AMK$1,0)</f>
        <v>#N/A</v>
      </c>
      <c r="D342" t="e">
        <f>INDEX(PitRawData!$A$1:$AMK$3,3,MATCH(DO_NOT_EDIT!A342,PitRawData!$A$1:$AMK$1,0))</f>
        <v>#N/A</v>
      </c>
      <c r="E342" t="s">
        <v>749</v>
      </c>
    </row>
    <row r="343" spans="1:5" x14ac:dyDescent="0.25">
      <c r="A343" t="s">
        <v>299</v>
      </c>
      <c r="B343">
        <f>COUNTIF(PitRawData!$1:$1,DO_NOT_EDIT!A343)</f>
        <v>0</v>
      </c>
      <c r="C343" t="e">
        <f>MATCH(A343,PitRawData!$A$1:$AMK$1,0)</f>
        <v>#N/A</v>
      </c>
      <c r="D343" t="e">
        <f>INDEX(PitRawData!$A$1:$AMK$3,3,MATCH(DO_NOT_EDIT!A343,PitRawData!$A$1:$AMK$1,0))</f>
        <v>#N/A</v>
      </c>
      <c r="E343" t="s">
        <v>749</v>
      </c>
    </row>
    <row r="344" spans="1:5" x14ac:dyDescent="0.25">
      <c r="A344" t="s">
        <v>340</v>
      </c>
      <c r="B344">
        <f>COUNTIF(PitRawData!$1:$1,DO_NOT_EDIT!A344)</f>
        <v>0</v>
      </c>
      <c r="C344" t="e">
        <f>MATCH(A344,PitRawData!$A$1:$AMK$1,0)</f>
        <v>#N/A</v>
      </c>
      <c r="D344" t="e">
        <f>INDEX(PitRawData!$A$1:$AMK$3,3,MATCH(DO_NOT_EDIT!A344,PitRawData!$A$1:$AMK$1,0))</f>
        <v>#N/A</v>
      </c>
      <c r="E344" t="s">
        <v>749</v>
      </c>
    </row>
    <row r="345" spans="1:5" x14ac:dyDescent="0.25">
      <c r="A345" t="s">
        <v>318</v>
      </c>
      <c r="B345">
        <f>COUNTIF(PitRawData!$1:$1,DO_NOT_EDIT!A345)</f>
        <v>0</v>
      </c>
      <c r="C345" t="e">
        <f>MATCH(A345,PitRawData!$A$1:$AMK$1,0)</f>
        <v>#N/A</v>
      </c>
      <c r="D345" t="e">
        <f>INDEX(PitRawData!$A$1:$AMK$3,3,MATCH(DO_NOT_EDIT!A345,PitRawData!$A$1:$AMK$1,0))</f>
        <v>#N/A</v>
      </c>
      <c r="E345" t="s">
        <v>749</v>
      </c>
    </row>
    <row r="346" spans="1:5" x14ac:dyDescent="0.25">
      <c r="A346" t="s">
        <v>298</v>
      </c>
      <c r="B346">
        <f>COUNTIF(PitRawData!$1:$1,DO_NOT_EDIT!A346)</f>
        <v>0</v>
      </c>
      <c r="C346" t="e">
        <f>MATCH(A346,PitRawData!$A$1:$AMK$1,0)</f>
        <v>#N/A</v>
      </c>
      <c r="D346" t="e">
        <f>INDEX(PitRawData!$A$1:$AMK$3,3,MATCH(DO_NOT_EDIT!A346,PitRawData!$A$1:$AMK$1,0))</f>
        <v>#N/A</v>
      </c>
      <c r="E346" t="s">
        <v>749</v>
      </c>
    </row>
    <row r="347" spans="1:5" x14ac:dyDescent="0.25">
      <c r="A347" t="s">
        <v>338</v>
      </c>
      <c r="B347">
        <f>COUNTIF(PitRawData!$1:$1,DO_NOT_EDIT!A347)</f>
        <v>0</v>
      </c>
      <c r="C347" t="e">
        <f>MATCH(A347,PitRawData!$A$1:$AMK$1,0)</f>
        <v>#N/A</v>
      </c>
      <c r="D347" t="e">
        <f>INDEX(PitRawData!$A$1:$AMK$3,3,MATCH(DO_NOT_EDIT!A347,PitRawData!$A$1:$AMK$1,0))</f>
        <v>#N/A</v>
      </c>
      <c r="E347" t="s">
        <v>749</v>
      </c>
    </row>
    <row r="348" spans="1:5" x14ac:dyDescent="0.25">
      <c r="A348" t="s">
        <v>316</v>
      </c>
      <c r="B348">
        <f>COUNTIF(PitRawData!$1:$1,DO_NOT_EDIT!A348)</f>
        <v>0</v>
      </c>
      <c r="C348" t="e">
        <f>MATCH(A348,PitRawData!$A$1:$AMK$1,0)</f>
        <v>#N/A</v>
      </c>
      <c r="D348" t="e">
        <f>INDEX(PitRawData!$A$1:$AMK$3,3,MATCH(DO_NOT_EDIT!A348,PitRawData!$A$1:$AMK$1,0))</f>
        <v>#N/A</v>
      </c>
      <c r="E348" t="s">
        <v>749</v>
      </c>
    </row>
    <row r="349" spans="1:5" x14ac:dyDescent="0.25">
      <c r="A349" t="s">
        <v>296</v>
      </c>
      <c r="B349">
        <f>COUNTIF(PitRawData!$1:$1,DO_NOT_EDIT!A349)</f>
        <v>0</v>
      </c>
      <c r="C349" t="e">
        <f>MATCH(A349,PitRawData!$A$1:$AMK$1,0)</f>
        <v>#N/A</v>
      </c>
      <c r="D349" t="e">
        <f>INDEX(PitRawData!$A$1:$AMK$3,3,MATCH(DO_NOT_EDIT!A349,PitRawData!$A$1:$AMK$1,0))</f>
        <v>#N/A</v>
      </c>
      <c r="E349" t="s">
        <v>749</v>
      </c>
    </row>
    <row r="350" spans="1:5" x14ac:dyDescent="0.25">
      <c r="A350" t="s">
        <v>339</v>
      </c>
      <c r="B350">
        <f>COUNTIF(PitRawData!$1:$1,DO_NOT_EDIT!A350)</f>
        <v>0</v>
      </c>
      <c r="C350" t="e">
        <f>MATCH(A350,PitRawData!$A$1:$AMK$1,0)</f>
        <v>#N/A</v>
      </c>
      <c r="D350" t="e">
        <f>INDEX(PitRawData!$A$1:$AMK$3,3,MATCH(DO_NOT_EDIT!A350,PitRawData!$A$1:$AMK$1,0))</f>
        <v>#N/A</v>
      </c>
      <c r="E350" t="s">
        <v>749</v>
      </c>
    </row>
    <row r="351" spans="1:5" x14ac:dyDescent="0.25">
      <c r="A351" t="s">
        <v>317</v>
      </c>
      <c r="B351">
        <f>COUNTIF(PitRawData!$1:$1,DO_NOT_EDIT!A351)</f>
        <v>0</v>
      </c>
      <c r="C351" t="e">
        <f>MATCH(A351,PitRawData!$A$1:$AMK$1,0)</f>
        <v>#N/A</v>
      </c>
      <c r="D351" t="e">
        <f>INDEX(PitRawData!$A$1:$AMK$3,3,MATCH(DO_NOT_EDIT!A351,PitRawData!$A$1:$AMK$1,0))</f>
        <v>#N/A</v>
      </c>
      <c r="E351" t="s">
        <v>749</v>
      </c>
    </row>
    <row r="352" spans="1:5" x14ac:dyDescent="0.25">
      <c r="A352" t="s">
        <v>297</v>
      </c>
      <c r="B352">
        <f>COUNTIF(PitRawData!$1:$1,DO_NOT_EDIT!A352)</f>
        <v>0</v>
      </c>
      <c r="C352" t="e">
        <f>MATCH(A352,PitRawData!$A$1:$AMK$1,0)</f>
        <v>#N/A</v>
      </c>
      <c r="D352" t="e">
        <f>INDEX(PitRawData!$A$1:$AMK$3,3,MATCH(DO_NOT_EDIT!A352,PitRawData!$A$1:$AMK$1,0))</f>
        <v>#N/A</v>
      </c>
      <c r="E352" t="s">
        <v>749</v>
      </c>
    </row>
    <row r="353" spans="1:5" x14ac:dyDescent="0.25">
      <c r="A353" t="s">
        <v>337</v>
      </c>
      <c r="B353">
        <f>COUNTIF(PitRawData!$1:$1,DO_NOT_EDIT!A353)</f>
        <v>0</v>
      </c>
      <c r="C353" t="e">
        <f>MATCH(A353,PitRawData!$A$1:$AMK$1,0)</f>
        <v>#N/A</v>
      </c>
      <c r="D353" t="e">
        <f>INDEX(PitRawData!$A$1:$AMK$3,3,MATCH(DO_NOT_EDIT!A353,PitRawData!$A$1:$AMK$1,0))</f>
        <v>#N/A</v>
      </c>
      <c r="E353" t="s">
        <v>749</v>
      </c>
    </row>
    <row r="354" spans="1:5" x14ac:dyDescent="0.25">
      <c r="A354" t="s">
        <v>315</v>
      </c>
      <c r="B354">
        <f>COUNTIF(PitRawData!$1:$1,DO_NOT_EDIT!A354)</f>
        <v>0</v>
      </c>
      <c r="C354" t="e">
        <f>MATCH(A354,PitRawData!$A$1:$AMK$1,0)</f>
        <v>#N/A</v>
      </c>
      <c r="D354" t="e">
        <f>INDEX(PitRawData!$A$1:$AMK$3,3,MATCH(DO_NOT_EDIT!A354,PitRawData!$A$1:$AMK$1,0))</f>
        <v>#N/A</v>
      </c>
      <c r="E354" t="s">
        <v>749</v>
      </c>
    </row>
    <row r="355" spans="1:5" x14ac:dyDescent="0.25">
      <c r="A355" t="s">
        <v>295</v>
      </c>
      <c r="B355">
        <f>COUNTIF(PitRawData!$1:$1,DO_NOT_EDIT!A355)</f>
        <v>0</v>
      </c>
      <c r="C355" t="e">
        <f>MATCH(A355,PitRawData!$A$1:$AMK$1,0)</f>
        <v>#N/A</v>
      </c>
      <c r="D355" t="e">
        <f>INDEX(PitRawData!$A$1:$AMK$3,3,MATCH(DO_NOT_EDIT!A355,PitRawData!$A$1:$AMK$1,0))</f>
        <v>#N/A</v>
      </c>
      <c r="E355" t="s">
        <v>749</v>
      </c>
    </row>
    <row r="356" spans="1:5" x14ac:dyDescent="0.25">
      <c r="A356" t="s">
        <v>334</v>
      </c>
      <c r="B356">
        <f>COUNTIF(PitRawData!$1:$1,DO_NOT_EDIT!A356)</f>
        <v>0</v>
      </c>
      <c r="C356" t="e">
        <f>MATCH(A356,PitRawData!$A$1:$AMK$1,0)</f>
        <v>#N/A</v>
      </c>
      <c r="D356" t="e">
        <f>INDEX(PitRawData!$A$1:$AMK$3,3,MATCH(DO_NOT_EDIT!A356,PitRawData!$A$1:$AMK$1,0))</f>
        <v>#N/A</v>
      </c>
      <c r="E356" t="s">
        <v>749</v>
      </c>
    </row>
    <row r="357" spans="1:5" x14ac:dyDescent="0.25">
      <c r="A357" t="s">
        <v>312</v>
      </c>
      <c r="B357">
        <f>COUNTIF(PitRawData!$1:$1,DO_NOT_EDIT!A357)</f>
        <v>0</v>
      </c>
      <c r="C357" t="e">
        <f>MATCH(A357,PitRawData!$A$1:$AMK$1,0)</f>
        <v>#N/A</v>
      </c>
      <c r="D357" t="e">
        <f>INDEX(PitRawData!$A$1:$AMK$3,3,MATCH(DO_NOT_EDIT!A357,PitRawData!$A$1:$AMK$1,0))</f>
        <v>#N/A</v>
      </c>
      <c r="E357" t="s">
        <v>749</v>
      </c>
    </row>
    <row r="358" spans="1:5" x14ac:dyDescent="0.25">
      <c r="A358" t="s">
        <v>292</v>
      </c>
      <c r="B358">
        <f>COUNTIF(PitRawData!$1:$1,DO_NOT_EDIT!A358)</f>
        <v>0</v>
      </c>
      <c r="C358" t="e">
        <f>MATCH(A358,PitRawData!$A$1:$AMK$1,0)</f>
        <v>#N/A</v>
      </c>
      <c r="D358" t="e">
        <f>INDEX(PitRawData!$A$1:$AMK$3,3,MATCH(DO_NOT_EDIT!A358,PitRawData!$A$1:$AMK$1,0))</f>
        <v>#N/A</v>
      </c>
      <c r="E358" t="s">
        <v>749</v>
      </c>
    </row>
    <row r="359" spans="1:5" x14ac:dyDescent="0.25">
      <c r="A359" t="s">
        <v>335</v>
      </c>
      <c r="B359">
        <f>COUNTIF(PitRawData!$1:$1,DO_NOT_EDIT!A359)</f>
        <v>0</v>
      </c>
      <c r="C359" t="e">
        <f>MATCH(A359,PitRawData!$A$1:$AMK$1,0)</f>
        <v>#N/A</v>
      </c>
      <c r="D359" t="e">
        <f>INDEX(PitRawData!$A$1:$AMK$3,3,MATCH(DO_NOT_EDIT!A359,PitRawData!$A$1:$AMK$1,0))</f>
        <v>#N/A</v>
      </c>
      <c r="E359" t="s">
        <v>749</v>
      </c>
    </row>
    <row r="360" spans="1:5" x14ac:dyDescent="0.25">
      <c r="A360" t="s">
        <v>313</v>
      </c>
      <c r="B360">
        <f>COUNTIF(PitRawData!$1:$1,DO_NOT_EDIT!A360)</f>
        <v>0</v>
      </c>
      <c r="C360" t="e">
        <f>MATCH(A360,PitRawData!$A$1:$AMK$1,0)</f>
        <v>#N/A</v>
      </c>
      <c r="D360" t="e">
        <f>INDEX(PitRawData!$A$1:$AMK$3,3,MATCH(DO_NOT_EDIT!A360,PitRawData!$A$1:$AMK$1,0))</f>
        <v>#N/A</v>
      </c>
      <c r="E360" t="s">
        <v>749</v>
      </c>
    </row>
    <row r="361" spans="1:5" x14ac:dyDescent="0.25">
      <c r="A361" t="s">
        <v>293</v>
      </c>
      <c r="B361">
        <f>COUNTIF(PitRawData!$1:$1,DO_NOT_EDIT!A361)</f>
        <v>0</v>
      </c>
      <c r="C361" t="e">
        <f>MATCH(A361,PitRawData!$A$1:$AMK$1,0)</f>
        <v>#N/A</v>
      </c>
      <c r="D361" t="e">
        <f>INDEX(PitRawData!$A$1:$AMK$3,3,MATCH(DO_NOT_EDIT!A361,PitRawData!$A$1:$AMK$1,0))</f>
        <v>#N/A</v>
      </c>
      <c r="E361" t="s">
        <v>749</v>
      </c>
    </row>
    <row r="362" spans="1:5" x14ac:dyDescent="0.25">
      <c r="A362" t="s">
        <v>332</v>
      </c>
      <c r="B362">
        <f>COUNTIF(PitRawData!$1:$1,DO_NOT_EDIT!A362)</f>
        <v>0</v>
      </c>
      <c r="C362" t="e">
        <f>MATCH(A362,PitRawData!$A$1:$AMK$1,0)</f>
        <v>#N/A</v>
      </c>
      <c r="D362" t="e">
        <f>INDEX(PitRawData!$A$1:$AMK$3,3,MATCH(DO_NOT_EDIT!A362,PitRawData!$A$1:$AMK$1,0))</f>
        <v>#N/A</v>
      </c>
      <c r="E362" t="s">
        <v>749</v>
      </c>
    </row>
    <row r="363" spans="1:5" x14ac:dyDescent="0.25">
      <c r="A363" t="s">
        <v>310</v>
      </c>
      <c r="B363">
        <f>COUNTIF(PitRawData!$1:$1,DO_NOT_EDIT!A363)</f>
        <v>0</v>
      </c>
      <c r="C363" t="e">
        <f>MATCH(A363,PitRawData!$A$1:$AMK$1,0)</f>
        <v>#N/A</v>
      </c>
      <c r="D363" t="e">
        <f>INDEX(PitRawData!$A$1:$AMK$3,3,MATCH(DO_NOT_EDIT!A363,PitRawData!$A$1:$AMK$1,0))</f>
        <v>#N/A</v>
      </c>
      <c r="E363" t="s">
        <v>749</v>
      </c>
    </row>
    <row r="364" spans="1:5" x14ac:dyDescent="0.25">
      <c r="A364" t="s">
        <v>290</v>
      </c>
      <c r="B364">
        <f>COUNTIF(PitRawData!$1:$1,DO_NOT_EDIT!A364)</f>
        <v>0</v>
      </c>
      <c r="C364" t="e">
        <f>MATCH(A364,PitRawData!$A$1:$AMK$1,0)</f>
        <v>#N/A</v>
      </c>
      <c r="D364" t="e">
        <f>INDEX(PitRawData!$A$1:$AMK$3,3,MATCH(DO_NOT_EDIT!A364,PitRawData!$A$1:$AMK$1,0))</f>
        <v>#N/A</v>
      </c>
      <c r="E364" t="s">
        <v>749</v>
      </c>
    </row>
    <row r="365" spans="1:5" x14ac:dyDescent="0.25">
      <c r="A365" t="s">
        <v>333</v>
      </c>
      <c r="B365">
        <f>COUNTIF(PitRawData!$1:$1,DO_NOT_EDIT!A365)</f>
        <v>0</v>
      </c>
      <c r="C365" t="e">
        <f>MATCH(A365,PitRawData!$A$1:$AMK$1,0)</f>
        <v>#N/A</v>
      </c>
      <c r="D365" t="e">
        <f>INDEX(PitRawData!$A$1:$AMK$3,3,MATCH(DO_NOT_EDIT!A365,PitRawData!$A$1:$AMK$1,0))</f>
        <v>#N/A</v>
      </c>
      <c r="E365" t="s">
        <v>749</v>
      </c>
    </row>
    <row r="366" spans="1:5" x14ac:dyDescent="0.25">
      <c r="A366" t="s">
        <v>311</v>
      </c>
      <c r="B366">
        <f>COUNTIF(PitRawData!$1:$1,DO_NOT_EDIT!A366)</f>
        <v>0</v>
      </c>
      <c r="C366" t="e">
        <f>MATCH(A366,PitRawData!$A$1:$AMK$1,0)</f>
        <v>#N/A</v>
      </c>
      <c r="D366" t="e">
        <f>INDEX(PitRawData!$A$1:$AMK$3,3,MATCH(DO_NOT_EDIT!A366,PitRawData!$A$1:$AMK$1,0))</f>
        <v>#N/A</v>
      </c>
      <c r="E366" t="s">
        <v>749</v>
      </c>
    </row>
    <row r="367" spans="1:5" x14ac:dyDescent="0.25">
      <c r="A367" t="s">
        <v>291</v>
      </c>
      <c r="B367">
        <f>COUNTIF(PitRawData!$1:$1,DO_NOT_EDIT!A367)</f>
        <v>0</v>
      </c>
      <c r="C367" t="e">
        <f>MATCH(A367,PitRawData!$A$1:$AMK$1,0)</f>
        <v>#N/A</v>
      </c>
      <c r="D367" t="e">
        <f>INDEX(PitRawData!$A$1:$AMK$3,3,MATCH(DO_NOT_EDIT!A367,PitRawData!$A$1:$AMK$1,0))</f>
        <v>#N/A</v>
      </c>
      <c r="E367" t="s">
        <v>749</v>
      </c>
    </row>
    <row r="368" spans="1:5" x14ac:dyDescent="0.25">
      <c r="A368" t="s">
        <v>330</v>
      </c>
      <c r="B368">
        <f>COUNTIF(PitRawData!$1:$1,DO_NOT_EDIT!A368)</f>
        <v>0</v>
      </c>
      <c r="C368" t="e">
        <f>MATCH(A368,PitRawData!$A$1:$AMK$1,0)</f>
        <v>#N/A</v>
      </c>
      <c r="D368" t="e">
        <f>INDEX(PitRawData!$A$1:$AMK$3,3,MATCH(DO_NOT_EDIT!A368,PitRawData!$A$1:$AMK$1,0))</f>
        <v>#N/A</v>
      </c>
      <c r="E368" t="s">
        <v>749</v>
      </c>
    </row>
    <row r="369" spans="1:5" x14ac:dyDescent="0.25">
      <c r="A369" t="s">
        <v>308</v>
      </c>
      <c r="B369">
        <f>COUNTIF(PitRawData!$1:$1,DO_NOT_EDIT!A369)</f>
        <v>0</v>
      </c>
      <c r="C369" t="e">
        <f>MATCH(A369,PitRawData!$A$1:$AMK$1,0)</f>
        <v>#N/A</v>
      </c>
      <c r="D369" t="e">
        <f>INDEX(PitRawData!$A$1:$AMK$3,3,MATCH(DO_NOT_EDIT!A369,PitRawData!$A$1:$AMK$1,0))</f>
        <v>#N/A</v>
      </c>
      <c r="E369" t="s">
        <v>749</v>
      </c>
    </row>
    <row r="370" spans="1:5" x14ac:dyDescent="0.25">
      <c r="A370" t="s">
        <v>288</v>
      </c>
      <c r="B370">
        <f>COUNTIF(PitRawData!$1:$1,DO_NOT_EDIT!A370)</f>
        <v>0</v>
      </c>
      <c r="C370" t="e">
        <f>MATCH(A370,PitRawData!$A$1:$AMK$1,0)</f>
        <v>#N/A</v>
      </c>
      <c r="D370" t="e">
        <f>INDEX(PitRawData!$A$1:$AMK$3,3,MATCH(DO_NOT_EDIT!A370,PitRawData!$A$1:$AMK$1,0))</f>
        <v>#N/A</v>
      </c>
      <c r="E370" t="s">
        <v>749</v>
      </c>
    </row>
    <row r="371" spans="1:5" x14ac:dyDescent="0.25">
      <c r="A371" t="s">
        <v>331</v>
      </c>
      <c r="B371">
        <f>COUNTIF(PitRawData!$1:$1,DO_NOT_EDIT!A371)</f>
        <v>0</v>
      </c>
      <c r="C371" t="e">
        <f>MATCH(A371,PitRawData!$A$1:$AMK$1,0)</f>
        <v>#N/A</v>
      </c>
      <c r="D371" t="e">
        <f>INDEX(PitRawData!$A$1:$AMK$3,3,MATCH(DO_NOT_EDIT!A371,PitRawData!$A$1:$AMK$1,0))</f>
        <v>#N/A</v>
      </c>
      <c r="E371" t="s">
        <v>749</v>
      </c>
    </row>
    <row r="372" spans="1:5" x14ac:dyDescent="0.25">
      <c r="A372" t="s">
        <v>309</v>
      </c>
      <c r="B372">
        <f>COUNTIF(PitRawData!$1:$1,DO_NOT_EDIT!A372)</f>
        <v>0</v>
      </c>
      <c r="C372" t="e">
        <f>MATCH(A372,PitRawData!$A$1:$AMK$1,0)</f>
        <v>#N/A</v>
      </c>
      <c r="D372" t="e">
        <f>INDEX(PitRawData!$A$1:$AMK$3,3,MATCH(DO_NOT_EDIT!A372,PitRawData!$A$1:$AMK$1,0))</f>
        <v>#N/A</v>
      </c>
      <c r="E372" t="s">
        <v>749</v>
      </c>
    </row>
    <row r="373" spans="1:5" x14ac:dyDescent="0.25">
      <c r="A373" t="s">
        <v>289</v>
      </c>
      <c r="B373">
        <f>COUNTIF(PitRawData!$1:$1,DO_NOT_EDIT!A373)</f>
        <v>0</v>
      </c>
      <c r="C373" t="e">
        <f>MATCH(A373,PitRawData!$A$1:$AMK$1,0)</f>
        <v>#N/A</v>
      </c>
      <c r="D373" t="e">
        <f>INDEX(PitRawData!$A$1:$AMK$3,3,MATCH(DO_NOT_EDIT!A373,PitRawData!$A$1:$AMK$1,0))</f>
        <v>#N/A</v>
      </c>
      <c r="E373" t="s">
        <v>749</v>
      </c>
    </row>
    <row r="374" spans="1:5" x14ac:dyDescent="0.25">
      <c r="A374" t="s">
        <v>336</v>
      </c>
      <c r="B374">
        <f>COUNTIF(PitRawData!$1:$1,DO_NOT_EDIT!A374)</f>
        <v>0</v>
      </c>
      <c r="C374" t="e">
        <f>MATCH(A374,PitRawData!$A$1:$AMK$1,0)</f>
        <v>#N/A</v>
      </c>
      <c r="D374" t="e">
        <f>INDEX(PitRawData!$A$1:$AMK$3,3,MATCH(DO_NOT_EDIT!A374,PitRawData!$A$1:$AMK$1,0))</f>
        <v>#N/A</v>
      </c>
      <c r="E374" t="s">
        <v>749</v>
      </c>
    </row>
    <row r="375" spans="1:5" x14ac:dyDescent="0.25">
      <c r="A375" t="s">
        <v>314</v>
      </c>
      <c r="B375">
        <f>COUNTIF(PitRawData!$1:$1,DO_NOT_EDIT!A375)</f>
        <v>0</v>
      </c>
      <c r="C375" t="e">
        <f>MATCH(A375,PitRawData!$A$1:$AMK$1,0)</f>
        <v>#N/A</v>
      </c>
      <c r="D375" t="e">
        <f>INDEX(PitRawData!$A$1:$AMK$3,3,MATCH(DO_NOT_EDIT!A375,PitRawData!$A$1:$AMK$1,0))</f>
        <v>#N/A</v>
      </c>
      <c r="E375" t="s">
        <v>749</v>
      </c>
    </row>
    <row r="376" spans="1:5" x14ac:dyDescent="0.25">
      <c r="A376" t="s">
        <v>294</v>
      </c>
      <c r="B376">
        <f>COUNTIF(PitRawData!$1:$1,DO_NOT_EDIT!A376)</f>
        <v>0</v>
      </c>
      <c r="C376" t="e">
        <f>MATCH(A376,PitRawData!$A$1:$AMK$1,0)</f>
        <v>#N/A</v>
      </c>
      <c r="D376" t="e">
        <f>INDEX(PitRawData!$A$1:$AMK$3,3,MATCH(DO_NOT_EDIT!A376,PitRawData!$A$1:$AMK$1,0))</f>
        <v>#N/A</v>
      </c>
      <c r="E376" t="s">
        <v>749</v>
      </c>
    </row>
    <row r="377" spans="1:5" x14ac:dyDescent="0.25">
      <c r="A377" t="s">
        <v>328</v>
      </c>
      <c r="B377">
        <f>COUNTIF(PitRawData!$1:$1,DO_NOT_EDIT!A377)</f>
        <v>0</v>
      </c>
      <c r="C377" t="e">
        <f>MATCH(A377,PitRawData!$A$1:$AMK$1,0)</f>
        <v>#N/A</v>
      </c>
      <c r="D377" t="e">
        <f>INDEX(PitRawData!$A$1:$AMK$3,3,MATCH(DO_NOT_EDIT!A377,PitRawData!$A$1:$AMK$1,0))</f>
        <v>#N/A</v>
      </c>
      <c r="E377" t="s">
        <v>749</v>
      </c>
    </row>
    <row r="378" spans="1:5" x14ac:dyDescent="0.25">
      <c r="A378" t="s">
        <v>306</v>
      </c>
      <c r="B378">
        <f>COUNTIF(PitRawData!$1:$1,DO_NOT_EDIT!A378)</f>
        <v>0</v>
      </c>
      <c r="C378" t="e">
        <f>MATCH(A378,PitRawData!$A$1:$AMK$1,0)</f>
        <v>#N/A</v>
      </c>
      <c r="D378" t="e">
        <f>INDEX(PitRawData!$A$1:$AMK$3,3,MATCH(DO_NOT_EDIT!A378,PitRawData!$A$1:$AMK$1,0))</f>
        <v>#N/A</v>
      </c>
      <c r="E378" t="s">
        <v>749</v>
      </c>
    </row>
    <row r="379" spans="1:5" x14ac:dyDescent="0.25">
      <c r="A379" t="s">
        <v>286</v>
      </c>
      <c r="B379">
        <f>COUNTIF(PitRawData!$1:$1,DO_NOT_EDIT!A379)</f>
        <v>0</v>
      </c>
      <c r="C379" t="e">
        <f>MATCH(A379,PitRawData!$A$1:$AMK$1,0)</f>
        <v>#N/A</v>
      </c>
      <c r="D379" t="e">
        <f>INDEX(PitRawData!$A$1:$AMK$3,3,MATCH(DO_NOT_EDIT!A379,PitRawData!$A$1:$AMK$1,0))</f>
        <v>#N/A</v>
      </c>
      <c r="E379" t="s">
        <v>749</v>
      </c>
    </row>
    <row r="380" spans="1:5" x14ac:dyDescent="0.25">
      <c r="A380" t="s">
        <v>329</v>
      </c>
      <c r="B380">
        <f>COUNTIF(PitRawData!$1:$1,DO_NOT_EDIT!A380)</f>
        <v>0</v>
      </c>
      <c r="C380" t="e">
        <f>MATCH(A380,PitRawData!$A$1:$AMK$1,0)</f>
        <v>#N/A</v>
      </c>
      <c r="D380" t="e">
        <f>INDEX(PitRawData!$A$1:$AMK$3,3,MATCH(DO_NOT_EDIT!A380,PitRawData!$A$1:$AMK$1,0))</f>
        <v>#N/A</v>
      </c>
      <c r="E380" t="s">
        <v>749</v>
      </c>
    </row>
    <row r="381" spans="1:5" x14ac:dyDescent="0.25">
      <c r="A381" t="s">
        <v>307</v>
      </c>
      <c r="B381">
        <f>COUNTIF(PitRawData!$1:$1,DO_NOT_EDIT!A381)</f>
        <v>0</v>
      </c>
      <c r="C381" t="e">
        <f>MATCH(A381,PitRawData!$A$1:$AMK$1,0)</f>
        <v>#N/A</v>
      </c>
      <c r="D381" t="e">
        <f>INDEX(PitRawData!$A$1:$AMK$3,3,MATCH(DO_NOT_EDIT!A381,PitRawData!$A$1:$AMK$1,0))</f>
        <v>#N/A</v>
      </c>
      <c r="E381" t="s">
        <v>749</v>
      </c>
    </row>
    <row r="382" spans="1:5" x14ac:dyDescent="0.25">
      <c r="A382" t="s">
        <v>287</v>
      </c>
      <c r="B382">
        <f>COUNTIF(PitRawData!$1:$1,DO_NOT_EDIT!A382)</f>
        <v>0</v>
      </c>
      <c r="C382" t="e">
        <f>MATCH(A382,PitRawData!$A$1:$AMK$1,0)</f>
        <v>#N/A</v>
      </c>
      <c r="D382" t="e">
        <f>INDEX(PitRawData!$A$1:$AMK$3,3,MATCH(DO_NOT_EDIT!A382,PitRawData!$A$1:$AMK$1,0))</f>
        <v>#N/A</v>
      </c>
      <c r="E382" t="s">
        <v>749</v>
      </c>
    </row>
    <row r="383" spans="1:5" x14ac:dyDescent="0.25">
      <c r="A383" t="s">
        <v>324</v>
      </c>
      <c r="B383">
        <f>COUNTIF(PitRawData!$1:$1,DO_NOT_EDIT!A383)</f>
        <v>0</v>
      </c>
      <c r="C383" t="e">
        <f>MATCH(A383,PitRawData!$A$1:$AMK$1,0)</f>
        <v>#N/A</v>
      </c>
      <c r="D383" t="e">
        <f>INDEX(PitRawData!$A$1:$AMK$3,3,MATCH(DO_NOT_EDIT!A383,PitRawData!$A$1:$AMK$1,0))</f>
        <v>#N/A</v>
      </c>
      <c r="E383" t="s">
        <v>749</v>
      </c>
    </row>
    <row r="384" spans="1:5" x14ac:dyDescent="0.25">
      <c r="A384" t="s">
        <v>302</v>
      </c>
      <c r="B384">
        <f>COUNTIF(PitRawData!$1:$1,DO_NOT_EDIT!A384)</f>
        <v>0</v>
      </c>
      <c r="C384" t="e">
        <f>MATCH(A384,PitRawData!$A$1:$AMK$1,0)</f>
        <v>#N/A</v>
      </c>
      <c r="D384" t="e">
        <f>INDEX(PitRawData!$A$1:$AMK$3,3,MATCH(DO_NOT_EDIT!A384,PitRawData!$A$1:$AMK$1,0))</f>
        <v>#N/A</v>
      </c>
      <c r="E384" t="s">
        <v>749</v>
      </c>
    </row>
    <row r="385" spans="1:5" x14ac:dyDescent="0.25">
      <c r="A385" t="s">
        <v>282</v>
      </c>
      <c r="B385">
        <f>COUNTIF(PitRawData!$1:$1,DO_NOT_EDIT!A385)</f>
        <v>0</v>
      </c>
      <c r="C385" t="e">
        <f>MATCH(A385,PitRawData!$A$1:$AMK$1,0)</f>
        <v>#N/A</v>
      </c>
      <c r="D385" t="e">
        <f>INDEX(PitRawData!$A$1:$AMK$3,3,MATCH(DO_NOT_EDIT!A385,PitRawData!$A$1:$AMK$1,0))</f>
        <v>#N/A</v>
      </c>
      <c r="E385" t="s">
        <v>749</v>
      </c>
    </row>
    <row r="386" spans="1:5" x14ac:dyDescent="0.25">
      <c r="A386" t="s">
        <v>325</v>
      </c>
      <c r="B386">
        <f>COUNTIF(PitRawData!$1:$1,DO_NOT_EDIT!A386)</f>
        <v>0</v>
      </c>
      <c r="C386" t="e">
        <f>MATCH(A386,PitRawData!$A$1:$AMK$1,0)</f>
        <v>#N/A</v>
      </c>
      <c r="D386" t="e">
        <f>INDEX(PitRawData!$A$1:$AMK$3,3,MATCH(DO_NOT_EDIT!A386,PitRawData!$A$1:$AMK$1,0))</f>
        <v>#N/A</v>
      </c>
      <c r="E386" t="s">
        <v>749</v>
      </c>
    </row>
    <row r="387" spans="1:5" x14ac:dyDescent="0.25">
      <c r="A387" t="s">
        <v>303</v>
      </c>
      <c r="B387">
        <f>COUNTIF(PitRawData!$1:$1,DO_NOT_EDIT!A387)</f>
        <v>0</v>
      </c>
      <c r="C387" t="e">
        <f>MATCH(A387,PitRawData!$A$1:$AMK$1,0)</f>
        <v>#N/A</v>
      </c>
      <c r="D387" t="e">
        <f>INDEX(PitRawData!$A$1:$AMK$3,3,MATCH(DO_NOT_EDIT!A387,PitRawData!$A$1:$AMK$1,0))</f>
        <v>#N/A</v>
      </c>
      <c r="E387" t="s">
        <v>749</v>
      </c>
    </row>
    <row r="388" spans="1:5" x14ac:dyDescent="0.25">
      <c r="A388" t="s">
        <v>283</v>
      </c>
      <c r="B388">
        <f>COUNTIF(PitRawData!$1:$1,DO_NOT_EDIT!A388)</f>
        <v>0</v>
      </c>
      <c r="C388" t="e">
        <f>MATCH(A388,PitRawData!$A$1:$AMK$1,0)</f>
        <v>#N/A</v>
      </c>
      <c r="D388" t="e">
        <f>INDEX(PitRawData!$A$1:$AMK$3,3,MATCH(DO_NOT_EDIT!A388,PitRawData!$A$1:$AMK$1,0))</f>
        <v>#N/A</v>
      </c>
      <c r="E388" t="s">
        <v>749</v>
      </c>
    </row>
    <row r="389" spans="1:5" x14ac:dyDescent="0.25">
      <c r="A389" t="s">
        <v>322</v>
      </c>
      <c r="B389">
        <f>COUNTIF(PitRawData!$1:$1,DO_NOT_EDIT!A389)</f>
        <v>0</v>
      </c>
      <c r="C389" t="e">
        <f>MATCH(A389,PitRawData!$A$1:$AMK$1,0)</f>
        <v>#N/A</v>
      </c>
      <c r="D389" t="e">
        <f>INDEX(PitRawData!$A$1:$AMK$3,3,MATCH(DO_NOT_EDIT!A389,PitRawData!$A$1:$AMK$1,0))</f>
        <v>#N/A</v>
      </c>
      <c r="E389" t="s">
        <v>749</v>
      </c>
    </row>
    <row r="390" spans="1:5" x14ac:dyDescent="0.25">
      <c r="A390" t="s">
        <v>300</v>
      </c>
      <c r="B390">
        <f>COUNTIF(PitRawData!$1:$1,DO_NOT_EDIT!A390)</f>
        <v>0</v>
      </c>
      <c r="C390" t="e">
        <f>MATCH(A390,PitRawData!$A$1:$AMK$1,0)</f>
        <v>#N/A</v>
      </c>
      <c r="D390" t="e">
        <f>INDEX(PitRawData!$A$1:$AMK$3,3,MATCH(DO_NOT_EDIT!A390,PitRawData!$A$1:$AMK$1,0))</f>
        <v>#N/A</v>
      </c>
      <c r="E390" t="s">
        <v>749</v>
      </c>
    </row>
    <row r="391" spans="1:5" x14ac:dyDescent="0.25">
      <c r="A391" t="s">
        <v>280</v>
      </c>
      <c r="B391">
        <f>COUNTIF(PitRawData!$1:$1,DO_NOT_EDIT!A391)</f>
        <v>0</v>
      </c>
      <c r="C391" t="e">
        <f>MATCH(A391,PitRawData!$A$1:$AMK$1,0)</f>
        <v>#N/A</v>
      </c>
      <c r="D391" t="e">
        <f>INDEX(PitRawData!$A$1:$AMK$3,3,MATCH(DO_NOT_EDIT!A391,PitRawData!$A$1:$AMK$1,0))</f>
        <v>#N/A</v>
      </c>
      <c r="E391" t="s">
        <v>749</v>
      </c>
    </row>
    <row r="392" spans="1:5" x14ac:dyDescent="0.25">
      <c r="A392" t="s">
        <v>323</v>
      </c>
      <c r="B392">
        <f>COUNTIF(PitRawData!$1:$1,DO_NOT_EDIT!A392)</f>
        <v>0</v>
      </c>
      <c r="C392" t="e">
        <f>MATCH(A392,PitRawData!$A$1:$AMK$1,0)</f>
        <v>#N/A</v>
      </c>
      <c r="D392" t="e">
        <f>INDEX(PitRawData!$A$1:$AMK$3,3,MATCH(DO_NOT_EDIT!A392,PitRawData!$A$1:$AMK$1,0))</f>
        <v>#N/A</v>
      </c>
      <c r="E392" t="s">
        <v>749</v>
      </c>
    </row>
    <row r="393" spans="1:5" x14ac:dyDescent="0.25">
      <c r="A393" t="s">
        <v>301</v>
      </c>
      <c r="B393">
        <f>COUNTIF(PitRawData!$1:$1,DO_NOT_EDIT!A393)</f>
        <v>0</v>
      </c>
      <c r="C393" t="e">
        <f>MATCH(A393,PitRawData!$A$1:$AMK$1,0)</f>
        <v>#N/A</v>
      </c>
      <c r="D393" t="e">
        <f>INDEX(PitRawData!$A$1:$AMK$3,3,MATCH(DO_NOT_EDIT!A393,PitRawData!$A$1:$AMK$1,0))</f>
        <v>#N/A</v>
      </c>
      <c r="E393" t="s">
        <v>749</v>
      </c>
    </row>
    <row r="394" spans="1:5" x14ac:dyDescent="0.25">
      <c r="A394" t="s">
        <v>281</v>
      </c>
      <c r="B394">
        <f>COUNTIF(PitRawData!$1:$1,DO_NOT_EDIT!A394)</f>
        <v>0</v>
      </c>
      <c r="C394" t="e">
        <f>MATCH(A394,PitRawData!$A$1:$AMK$1,0)</f>
        <v>#N/A</v>
      </c>
      <c r="D394" t="e">
        <f>INDEX(PitRawData!$A$1:$AMK$3,3,MATCH(DO_NOT_EDIT!A394,PitRawData!$A$1:$AMK$1,0))</f>
        <v>#N/A</v>
      </c>
      <c r="E394" t="s">
        <v>749</v>
      </c>
    </row>
    <row r="395" spans="1:5" x14ac:dyDescent="0.25">
      <c r="A395" t="s">
        <v>327</v>
      </c>
      <c r="B395">
        <f>COUNTIF(PitRawData!$1:$1,DO_NOT_EDIT!A395)</f>
        <v>0</v>
      </c>
      <c r="C395" t="e">
        <f>MATCH(A395,PitRawData!$A$1:$AMK$1,0)</f>
        <v>#N/A</v>
      </c>
      <c r="D395" t="e">
        <f>INDEX(PitRawData!$A$1:$AMK$3,3,MATCH(DO_NOT_EDIT!A395,PitRawData!$A$1:$AMK$1,0))</f>
        <v>#N/A</v>
      </c>
      <c r="E395" t="s">
        <v>749</v>
      </c>
    </row>
    <row r="396" spans="1:5" x14ac:dyDescent="0.25">
      <c r="A396" t="s">
        <v>305</v>
      </c>
      <c r="B396">
        <f>COUNTIF(PitRawData!$1:$1,DO_NOT_EDIT!A396)</f>
        <v>0</v>
      </c>
      <c r="C396" t="e">
        <f>MATCH(A396,PitRawData!$A$1:$AMK$1,0)</f>
        <v>#N/A</v>
      </c>
      <c r="D396" t="e">
        <f>INDEX(PitRawData!$A$1:$AMK$3,3,MATCH(DO_NOT_EDIT!A396,PitRawData!$A$1:$AMK$1,0))</f>
        <v>#N/A</v>
      </c>
      <c r="E396" t="s">
        <v>749</v>
      </c>
    </row>
    <row r="397" spans="1:5" x14ac:dyDescent="0.25">
      <c r="A397" t="s">
        <v>285</v>
      </c>
      <c r="B397">
        <f>COUNTIF(PitRawData!$1:$1,DO_NOT_EDIT!A397)</f>
        <v>0</v>
      </c>
      <c r="C397" t="e">
        <f>MATCH(A397,PitRawData!$A$1:$AMK$1,0)</f>
        <v>#N/A</v>
      </c>
      <c r="D397" t="e">
        <f>INDEX(PitRawData!$A$1:$AMK$3,3,MATCH(DO_NOT_EDIT!A397,PitRawData!$A$1:$AMK$1,0))</f>
        <v>#N/A</v>
      </c>
      <c r="E397" t="s">
        <v>749</v>
      </c>
    </row>
    <row r="398" spans="1:5" x14ac:dyDescent="0.25">
      <c r="A398" t="s">
        <v>326</v>
      </c>
      <c r="B398">
        <f>COUNTIF(PitRawData!$1:$1,DO_NOT_EDIT!A398)</f>
        <v>0</v>
      </c>
      <c r="C398" t="e">
        <f>MATCH(A398,PitRawData!$A$1:$AMK$1,0)</f>
        <v>#N/A</v>
      </c>
      <c r="D398" t="e">
        <f>INDEX(PitRawData!$A$1:$AMK$3,3,MATCH(DO_NOT_EDIT!A398,PitRawData!$A$1:$AMK$1,0))</f>
        <v>#N/A</v>
      </c>
      <c r="E398" t="s">
        <v>749</v>
      </c>
    </row>
    <row r="399" spans="1:5" x14ac:dyDescent="0.25">
      <c r="A399" t="s">
        <v>304</v>
      </c>
      <c r="B399">
        <f>COUNTIF(PitRawData!$1:$1,DO_NOT_EDIT!A399)</f>
        <v>0</v>
      </c>
      <c r="C399" t="e">
        <f>MATCH(A399,PitRawData!$A$1:$AMK$1,0)</f>
        <v>#N/A</v>
      </c>
      <c r="D399" t="e">
        <f>INDEX(PitRawData!$A$1:$AMK$3,3,MATCH(DO_NOT_EDIT!A399,PitRawData!$A$1:$AMK$1,0))</f>
        <v>#N/A</v>
      </c>
      <c r="E399" t="s">
        <v>749</v>
      </c>
    </row>
    <row r="400" spans="1:5" x14ac:dyDescent="0.25">
      <c r="A400" t="s">
        <v>284</v>
      </c>
      <c r="B400">
        <f>COUNTIF(PitRawData!$1:$1,DO_NOT_EDIT!A400)</f>
        <v>0</v>
      </c>
      <c r="C400" t="e">
        <f>MATCH(A400,PitRawData!$A$1:$AMK$1,0)</f>
        <v>#N/A</v>
      </c>
      <c r="D400" t="e">
        <f>INDEX(PitRawData!$A$1:$AMK$3,3,MATCH(DO_NOT_EDIT!A400,PitRawData!$A$1:$AMK$1,0))</f>
        <v>#N/A</v>
      </c>
      <c r="E400" t="s">
        <v>749</v>
      </c>
    </row>
    <row r="401" spans="1:5" x14ac:dyDescent="0.25">
      <c r="A401" t="s">
        <v>321</v>
      </c>
      <c r="B401">
        <f>COUNTIF(PitRawData!$1:$1,DO_NOT_EDIT!A401)</f>
        <v>0</v>
      </c>
      <c r="C401" t="e">
        <f>MATCH(A401,PitRawData!$A$1:$AMK$1,0)</f>
        <v>#N/A</v>
      </c>
      <c r="D401" t="e">
        <f>INDEX(PitRawData!$A$1:$AMK$3,3,MATCH(DO_NOT_EDIT!A401,PitRawData!$A$1:$AMK$1,0))</f>
        <v>#N/A</v>
      </c>
      <c r="E401" t="s">
        <v>749</v>
      </c>
    </row>
    <row r="402" spans="1:5" x14ac:dyDescent="0.25">
      <c r="A402" t="s">
        <v>279</v>
      </c>
      <c r="B402">
        <f>COUNTIF(PitRawData!$1:$1,DO_NOT_EDIT!A402)</f>
        <v>0</v>
      </c>
      <c r="C402" t="e">
        <f>MATCH(A402,PitRawData!$A$1:$AMK$1,0)</f>
        <v>#N/A</v>
      </c>
      <c r="D402" t="e">
        <f>INDEX(PitRawData!$A$1:$AMK$3,3,MATCH(DO_NOT_EDIT!A402,PitRawData!$A$1:$AMK$1,0))</f>
        <v>#N/A</v>
      </c>
      <c r="E402" t="s">
        <v>749</v>
      </c>
    </row>
    <row r="403" spans="1:5" x14ac:dyDescent="0.25">
      <c r="A403" t="s">
        <v>320</v>
      </c>
      <c r="B403">
        <f>COUNTIF(PitRawData!$1:$1,DO_NOT_EDIT!A403)</f>
        <v>0</v>
      </c>
      <c r="C403" t="e">
        <f>MATCH(A403,PitRawData!$A$1:$AMK$1,0)</f>
        <v>#N/A</v>
      </c>
      <c r="D403" t="e">
        <f>INDEX(PitRawData!$A$1:$AMK$3,3,MATCH(DO_NOT_EDIT!A403,PitRawData!$A$1:$AMK$1,0))</f>
        <v>#N/A</v>
      </c>
      <c r="E403" t="s">
        <v>749</v>
      </c>
    </row>
    <row r="404" spans="1:5" x14ac:dyDescent="0.25">
      <c r="A404" t="s">
        <v>278</v>
      </c>
      <c r="B404">
        <f>COUNTIF(PitRawData!$1:$1,DO_NOT_EDIT!A404)</f>
        <v>0</v>
      </c>
      <c r="C404" t="e">
        <f>MATCH(A404,PitRawData!$A$1:$AMK$1,0)</f>
        <v>#N/A</v>
      </c>
      <c r="D404" t="e">
        <f>INDEX(PitRawData!$A$1:$AMK$3,3,MATCH(DO_NOT_EDIT!A404,PitRawData!$A$1:$AMK$1,0))</f>
        <v>#N/A</v>
      </c>
      <c r="E404" t="s">
        <v>749</v>
      </c>
    </row>
    <row r="405" spans="1:5" x14ac:dyDescent="0.25">
      <c r="A405" t="s">
        <v>276</v>
      </c>
      <c r="B405">
        <f>COUNTIF(PitRawData!$1:$1,DO_NOT_EDIT!A405)</f>
        <v>0</v>
      </c>
      <c r="C405" t="e">
        <f>MATCH(A405,PitRawData!$A$1:$AMK$1,0)</f>
        <v>#N/A</v>
      </c>
      <c r="D405" t="e">
        <f>INDEX(PitRawData!$A$1:$AMK$3,3,MATCH(DO_NOT_EDIT!A405,PitRawData!$A$1:$AMK$1,0))</f>
        <v>#N/A</v>
      </c>
      <c r="E405" t="s">
        <v>750</v>
      </c>
    </row>
    <row r="406" spans="1:5" x14ac:dyDescent="0.25">
      <c r="A406" t="s">
        <v>256</v>
      </c>
      <c r="B406">
        <f>COUNTIF(PitRawData!$1:$1,DO_NOT_EDIT!A406)</f>
        <v>0</v>
      </c>
      <c r="C406" t="e">
        <f>MATCH(A406,PitRawData!$A$1:$AMK$1,0)</f>
        <v>#N/A</v>
      </c>
      <c r="D406" t="e">
        <f>INDEX(PitRawData!$A$1:$AMK$3,3,MATCH(DO_NOT_EDIT!A406,PitRawData!$A$1:$AMK$1,0))</f>
        <v>#N/A</v>
      </c>
      <c r="E406" t="s">
        <v>750</v>
      </c>
    </row>
    <row r="407" spans="1:5" x14ac:dyDescent="0.25">
      <c r="A407" t="s">
        <v>238</v>
      </c>
      <c r="B407">
        <f>COUNTIF(PitRawData!$1:$1,DO_NOT_EDIT!A407)</f>
        <v>0</v>
      </c>
      <c r="C407" t="e">
        <f>MATCH(A407,PitRawData!$A$1:$AMK$1,0)</f>
        <v>#N/A</v>
      </c>
      <c r="D407" t="e">
        <f>INDEX(PitRawData!$A$1:$AMK$3,3,MATCH(DO_NOT_EDIT!A407,PitRawData!$A$1:$AMK$1,0))</f>
        <v>#N/A</v>
      </c>
      <c r="E407" t="s">
        <v>750</v>
      </c>
    </row>
    <row r="408" spans="1:5" x14ac:dyDescent="0.25">
      <c r="A408" t="s">
        <v>275</v>
      </c>
      <c r="B408">
        <f>COUNTIF(PitRawData!$1:$1,DO_NOT_EDIT!A408)</f>
        <v>0</v>
      </c>
      <c r="C408" t="e">
        <f>MATCH(A408,PitRawData!$A$1:$AMK$1,0)</f>
        <v>#N/A</v>
      </c>
      <c r="D408" t="e">
        <f>INDEX(PitRawData!$A$1:$AMK$3,3,MATCH(DO_NOT_EDIT!A408,PitRawData!$A$1:$AMK$1,0))</f>
        <v>#N/A</v>
      </c>
      <c r="E408" t="s">
        <v>750</v>
      </c>
    </row>
    <row r="409" spans="1:5" x14ac:dyDescent="0.25">
      <c r="A409" t="s">
        <v>255</v>
      </c>
      <c r="B409">
        <f>COUNTIF(PitRawData!$1:$1,DO_NOT_EDIT!A409)</f>
        <v>0</v>
      </c>
      <c r="C409" t="e">
        <f>MATCH(A409,PitRawData!$A$1:$AMK$1,0)</f>
        <v>#N/A</v>
      </c>
      <c r="D409" t="e">
        <f>INDEX(PitRawData!$A$1:$AMK$3,3,MATCH(DO_NOT_EDIT!A409,PitRawData!$A$1:$AMK$1,0))</f>
        <v>#N/A</v>
      </c>
      <c r="E409" t="s">
        <v>750</v>
      </c>
    </row>
    <row r="410" spans="1:5" x14ac:dyDescent="0.25">
      <c r="A410" t="s">
        <v>237</v>
      </c>
      <c r="B410">
        <f>COUNTIF(PitRawData!$1:$1,DO_NOT_EDIT!A410)</f>
        <v>0</v>
      </c>
      <c r="C410" t="e">
        <f>MATCH(A410,PitRawData!$A$1:$AMK$1,0)</f>
        <v>#N/A</v>
      </c>
      <c r="D410" t="e">
        <f>INDEX(PitRawData!$A$1:$AMK$3,3,MATCH(DO_NOT_EDIT!A410,PitRawData!$A$1:$AMK$1,0))</f>
        <v>#N/A</v>
      </c>
      <c r="E410" t="s">
        <v>750</v>
      </c>
    </row>
    <row r="411" spans="1:5" x14ac:dyDescent="0.25">
      <c r="A411" t="s">
        <v>274</v>
      </c>
      <c r="B411">
        <f>COUNTIF(PitRawData!$1:$1,DO_NOT_EDIT!A411)</f>
        <v>0</v>
      </c>
      <c r="C411" t="e">
        <f>MATCH(A411,PitRawData!$A$1:$AMK$1,0)</f>
        <v>#N/A</v>
      </c>
      <c r="D411" t="e">
        <f>INDEX(PitRawData!$A$1:$AMK$3,3,MATCH(DO_NOT_EDIT!A411,PitRawData!$A$1:$AMK$1,0))</f>
        <v>#N/A</v>
      </c>
      <c r="E411" t="s">
        <v>750</v>
      </c>
    </row>
    <row r="412" spans="1:5" x14ac:dyDescent="0.25">
      <c r="A412" t="s">
        <v>254</v>
      </c>
      <c r="B412">
        <f>COUNTIF(PitRawData!$1:$1,DO_NOT_EDIT!A412)</f>
        <v>0</v>
      </c>
      <c r="C412" t="e">
        <f>MATCH(A412,PitRawData!$A$1:$AMK$1,0)</f>
        <v>#N/A</v>
      </c>
      <c r="D412" t="e">
        <f>INDEX(PitRawData!$A$1:$AMK$3,3,MATCH(DO_NOT_EDIT!A412,PitRawData!$A$1:$AMK$1,0))</f>
        <v>#N/A</v>
      </c>
      <c r="E412" t="s">
        <v>750</v>
      </c>
    </row>
    <row r="413" spans="1:5" x14ac:dyDescent="0.25">
      <c r="A413" t="s">
        <v>236</v>
      </c>
      <c r="B413">
        <f>COUNTIF(PitRawData!$1:$1,DO_NOT_EDIT!A413)</f>
        <v>0</v>
      </c>
      <c r="C413" t="e">
        <f>MATCH(A413,PitRawData!$A$1:$AMK$1,0)</f>
        <v>#N/A</v>
      </c>
      <c r="D413" t="e">
        <f>INDEX(PitRawData!$A$1:$AMK$3,3,MATCH(DO_NOT_EDIT!A413,PitRawData!$A$1:$AMK$1,0))</f>
        <v>#N/A</v>
      </c>
      <c r="E413" t="s">
        <v>750</v>
      </c>
    </row>
    <row r="414" spans="1:5" x14ac:dyDescent="0.25">
      <c r="A414" t="s">
        <v>271</v>
      </c>
      <c r="B414">
        <f>COUNTIF(PitRawData!$1:$1,DO_NOT_EDIT!A414)</f>
        <v>0</v>
      </c>
      <c r="C414" t="e">
        <f>MATCH(A414,PitRawData!$A$1:$AMK$1,0)</f>
        <v>#N/A</v>
      </c>
      <c r="D414" t="e">
        <f>INDEX(PitRawData!$A$1:$AMK$3,3,MATCH(DO_NOT_EDIT!A414,PitRawData!$A$1:$AMK$1,0))</f>
        <v>#N/A</v>
      </c>
      <c r="E414" t="s">
        <v>750</v>
      </c>
    </row>
    <row r="415" spans="1:5" x14ac:dyDescent="0.25">
      <c r="A415" t="s">
        <v>251</v>
      </c>
      <c r="B415">
        <f>COUNTIF(PitRawData!$1:$1,DO_NOT_EDIT!A415)</f>
        <v>0</v>
      </c>
      <c r="C415" t="e">
        <f>MATCH(A415,PitRawData!$A$1:$AMK$1,0)</f>
        <v>#N/A</v>
      </c>
      <c r="D415" t="e">
        <f>INDEX(PitRawData!$A$1:$AMK$3,3,MATCH(DO_NOT_EDIT!A415,PitRawData!$A$1:$AMK$1,0))</f>
        <v>#N/A</v>
      </c>
      <c r="E415" t="s">
        <v>750</v>
      </c>
    </row>
    <row r="416" spans="1:5" x14ac:dyDescent="0.25">
      <c r="A416" t="s">
        <v>233</v>
      </c>
      <c r="B416">
        <f>COUNTIF(PitRawData!$1:$1,DO_NOT_EDIT!A416)</f>
        <v>0</v>
      </c>
      <c r="C416" t="e">
        <f>MATCH(A416,PitRawData!$A$1:$AMK$1,0)</f>
        <v>#N/A</v>
      </c>
      <c r="D416" t="e">
        <f>INDEX(PitRawData!$A$1:$AMK$3,3,MATCH(DO_NOT_EDIT!A416,PitRawData!$A$1:$AMK$1,0))</f>
        <v>#N/A</v>
      </c>
      <c r="E416" t="s">
        <v>750</v>
      </c>
    </row>
    <row r="417" spans="1:5" x14ac:dyDescent="0.25">
      <c r="A417" t="s">
        <v>272</v>
      </c>
      <c r="B417">
        <f>COUNTIF(PitRawData!$1:$1,DO_NOT_EDIT!A417)</f>
        <v>0</v>
      </c>
      <c r="C417" t="e">
        <f>MATCH(A417,PitRawData!$A$1:$AMK$1,0)</f>
        <v>#N/A</v>
      </c>
      <c r="D417" t="e">
        <f>INDEX(PitRawData!$A$1:$AMK$3,3,MATCH(DO_NOT_EDIT!A417,PitRawData!$A$1:$AMK$1,0))</f>
        <v>#N/A</v>
      </c>
      <c r="E417" t="s">
        <v>750</v>
      </c>
    </row>
    <row r="418" spans="1:5" x14ac:dyDescent="0.25">
      <c r="A418" t="s">
        <v>252</v>
      </c>
      <c r="B418">
        <f>COUNTIF(PitRawData!$1:$1,DO_NOT_EDIT!A418)</f>
        <v>0</v>
      </c>
      <c r="C418" t="e">
        <f>MATCH(A418,PitRawData!$A$1:$AMK$1,0)</f>
        <v>#N/A</v>
      </c>
      <c r="D418" t="e">
        <f>INDEX(PitRawData!$A$1:$AMK$3,3,MATCH(DO_NOT_EDIT!A418,PitRawData!$A$1:$AMK$1,0))</f>
        <v>#N/A</v>
      </c>
      <c r="E418" t="s">
        <v>750</v>
      </c>
    </row>
    <row r="419" spans="1:5" x14ac:dyDescent="0.25">
      <c r="A419" t="s">
        <v>234</v>
      </c>
      <c r="B419">
        <f>COUNTIF(PitRawData!$1:$1,DO_NOT_EDIT!A419)</f>
        <v>0</v>
      </c>
      <c r="C419" t="e">
        <f>MATCH(A419,PitRawData!$A$1:$AMK$1,0)</f>
        <v>#N/A</v>
      </c>
      <c r="D419" t="e">
        <f>INDEX(PitRawData!$A$1:$AMK$3,3,MATCH(DO_NOT_EDIT!A419,PitRawData!$A$1:$AMK$1,0))</f>
        <v>#N/A</v>
      </c>
      <c r="E419" t="s">
        <v>750</v>
      </c>
    </row>
    <row r="420" spans="1:5" x14ac:dyDescent="0.25">
      <c r="A420" t="s">
        <v>269</v>
      </c>
      <c r="B420">
        <f>COUNTIF(PitRawData!$1:$1,DO_NOT_EDIT!A420)</f>
        <v>0</v>
      </c>
      <c r="C420" t="e">
        <f>MATCH(A420,PitRawData!$A$1:$AMK$1,0)</f>
        <v>#N/A</v>
      </c>
      <c r="D420" t="e">
        <f>INDEX(PitRawData!$A$1:$AMK$3,3,MATCH(DO_NOT_EDIT!A420,PitRawData!$A$1:$AMK$1,0))</f>
        <v>#N/A</v>
      </c>
      <c r="E420" t="s">
        <v>750</v>
      </c>
    </row>
    <row r="421" spans="1:5" x14ac:dyDescent="0.25">
      <c r="A421" t="s">
        <v>249</v>
      </c>
      <c r="B421">
        <f>COUNTIF(PitRawData!$1:$1,DO_NOT_EDIT!A421)</f>
        <v>0</v>
      </c>
      <c r="C421" t="e">
        <f>MATCH(A421,PitRawData!$A$1:$AMK$1,0)</f>
        <v>#N/A</v>
      </c>
      <c r="D421" t="e">
        <f>INDEX(PitRawData!$A$1:$AMK$3,3,MATCH(DO_NOT_EDIT!A421,PitRawData!$A$1:$AMK$1,0))</f>
        <v>#N/A</v>
      </c>
      <c r="E421" t="s">
        <v>750</v>
      </c>
    </row>
    <row r="422" spans="1:5" x14ac:dyDescent="0.25">
      <c r="A422" t="s">
        <v>231</v>
      </c>
      <c r="B422">
        <f>COUNTIF(PitRawData!$1:$1,DO_NOT_EDIT!A422)</f>
        <v>0</v>
      </c>
      <c r="C422" t="e">
        <f>MATCH(A422,PitRawData!$A$1:$AMK$1,0)</f>
        <v>#N/A</v>
      </c>
      <c r="D422" t="e">
        <f>INDEX(PitRawData!$A$1:$AMK$3,3,MATCH(DO_NOT_EDIT!A422,PitRawData!$A$1:$AMK$1,0))</f>
        <v>#N/A</v>
      </c>
      <c r="E422" t="s">
        <v>750</v>
      </c>
    </row>
    <row r="423" spans="1:5" x14ac:dyDescent="0.25">
      <c r="A423" t="s">
        <v>270</v>
      </c>
      <c r="B423">
        <f>COUNTIF(PitRawData!$1:$1,DO_NOT_EDIT!A423)</f>
        <v>0</v>
      </c>
      <c r="C423" t="e">
        <f>MATCH(A423,PitRawData!$A$1:$AMK$1,0)</f>
        <v>#N/A</v>
      </c>
      <c r="D423" t="e">
        <f>INDEX(PitRawData!$A$1:$AMK$3,3,MATCH(DO_NOT_EDIT!A423,PitRawData!$A$1:$AMK$1,0))</f>
        <v>#N/A</v>
      </c>
      <c r="E423" t="s">
        <v>750</v>
      </c>
    </row>
    <row r="424" spans="1:5" x14ac:dyDescent="0.25">
      <c r="A424" t="s">
        <v>250</v>
      </c>
      <c r="B424">
        <f>COUNTIF(PitRawData!$1:$1,DO_NOT_EDIT!A424)</f>
        <v>0</v>
      </c>
      <c r="C424" t="e">
        <f>MATCH(A424,PitRawData!$A$1:$AMK$1,0)</f>
        <v>#N/A</v>
      </c>
      <c r="D424" t="e">
        <f>INDEX(PitRawData!$A$1:$AMK$3,3,MATCH(DO_NOT_EDIT!A424,PitRawData!$A$1:$AMK$1,0))</f>
        <v>#N/A</v>
      </c>
      <c r="E424" t="s">
        <v>750</v>
      </c>
    </row>
    <row r="425" spans="1:5" x14ac:dyDescent="0.25">
      <c r="A425" t="s">
        <v>232</v>
      </c>
      <c r="B425">
        <f>COUNTIF(PitRawData!$1:$1,DO_NOT_EDIT!A425)</f>
        <v>0</v>
      </c>
      <c r="C425" t="e">
        <f>MATCH(A425,PitRawData!$A$1:$AMK$1,0)</f>
        <v>#N/A</v>
      </c>
      <c r="D425" t="e">
        <f>INDEX(PitRawData!$A$1:$AMK$3,3,MATCH(DO_NOT_EDIT!A425,PitRawData!$A$1:$AMK$1,0))</f>
        <v>#N/A</v>
      </c>
      <c r="E425" t="s">
        <v>750</v>
      </c>
    </row>
    <row r="426" spans="1:5" x14ac:dyDescent="0.25">
      <c r="A426" t="s">
        <v>267</v>
      </c>
      <c r="B426">
        <f>COUNTIF(PitRawData!$1:$1,DO_NOT_EDIT!A426)</f>
        <v>0</v>
      </c>
      <c r="C426" t="e">
        <f>MATCH(A426,PitRawData!$A$1:$AMK$1,0)</f>
        <v>#N/A</v>
      </c>
      <c r="D426" t="e">
        <f>INDEX(PitRawData!$A$1:$AMK$3,3,MATCH(DO_NOT_EDIT!A426,PitRawData!$A$1:$AMK$1,0))</f>
        <v>#N/A</v>
      </c>
      <c r="E426" t="s">
        <v>750</v>
      </c>
    </row>
    <row r="427" spans="1:5" x14ac:dyDescent="0.25">
      <c r="A427" t="s">
        <v>247</v>
      </c>
      <c r="B427">
        <f>COUNTIF(PitRawData!$1:$1,DO_NOT_EDIT!A427)</f>
        <v>0</v>
      </c>
      <c r="C427" t="e">
        <f>MATCH(A427,PitRawData!$A$1:$AMK$1,0)</f>
        <v>#N/A</v>
      </c>
      <c r="D427" t="e">
        <f>INDEX(PitRawData!$A$1:$AMK$3,3,MATCH(DO_NOT_EDIT!A427,PitRawData!$A$1:$AMK$1,0))</f>
        <v>#N/A</v>
      </c>
      <c r="E427" t="s">
        <v>750</v>
      </c>
    </row>
    <row r="428" spans="1:5" x14ac:dyDescent="0.25">
      <c r="A428" t="s">
        <v>229</v>
      </c>
      <c r="B428">
        <f>COUNTIF(PitRawData!$1:$1,DO_NOT_EDIT!A428)</f>
        <v>0</v>
      </c>
      <c r="C428" t="e">
        <f>MATCH(A428,PitRawData!$A$1:$AMK$1,0)</f>
        <v>#N/A</v>
      </c>
      <c r="D428" t="e">
        <f>INDEX(PitRawData!$A$1:$AMK$3,3,MATCH(DO_NOT_EDIT!A428,PitRawData!$A$1:$AMK$1,0))</f>
        <v>#N/A</v>
      </c>
      <c r="E428" t="s">
        <v>750</v>
      </c>
    </row>
    <row r="429" spans="1:5" x14ac:dyDescent="0.25">
      <c r="A429" t="s">
        <v>268</v>
      </c>
      <c r="B429">
        <f>COUNTIF(PitRawData!$1:$1,DO_NOT_EDIT!A429)</f>
        <v>0</v>
      </c>
      <c r="C429" t="e">
        <f>MATCH(A429,PitRawData!$A$1:$AMK$1,0)</f>
        <v>#N/A</v>
      </c>
      <c r="D429" t="e">
        <f>INDEX(PitRawData!$A$1:$AMK$3,3,MATCH(DO_NOT_EDIT!A429,PitRawData!$A$1:$AMK$1,0))</f>
        <v>#N/A</v>
      </c>
      <c r="E429" t="s">
        <v>750</v>
      </c>
    </row>
    <row r="430" spans="1:5" x14ac:dyDescent="0.25">
      <c r="A430" t="s">
        <v>248</v>
      </c>
      <c r="B430">
        <f>COUNTIF(PitRawData!$1:$1,DO_NOT_EDIT!A430)</f>
        <v>0</v>
      </c>
      <c r="C430" t="e">
        <f>MATCH(A430,PitRawData!$A$1:$AMK$1,0)</f>
        <v>#N/A</v>
      </c>
      <c r="D430" t="e">
        <f>INDEX(PitRawData!$A$1:$AMK$3,3,MATCH(DO_NOT_EDIT!A430,PitRawData!$A$1:$AMK$1,0))</f>
        <v>#N/A</v>
      </c>
      <c r="E430" t="s">
        <v>750</v>
      </c>
    </row>
    <row r="431" spans="1:5" x14ac:dyDescent="0.25">
      <c r="A431" t="s">
        <v>230</v>
      </c>
      <c r="B431">
        <f>COUNTIF(PitRawData!$1:$1,DO_NOT_EDIT!A431)</f>
        <v>0</v>
      </c>
      <c r="C431" t="e">
        <f>MATCH(A431,PitRawData!$A$1:$AMK$1,0)</f>
        <v>#N/A</v>
      </c>
      <c r="D431" t="e">
        <f>INDEX(PitRawData!$A$1:$AMK$3,3,MATCH(DO_NOT_EDIT!A431,PitRawData!$A$1:$AMK$1,0))</f>
        <v>#N/A</v>
      </c>
      <c r="E431" t="s">
        <v>750</v>
      </c>
    </row>
    <row r="432" spans="1:5" x14ac:dyDescent="0.25">
      <c r="A432" t="s">
        <v>273</v>
      </c>
      <c r="B432">
        <f>COUNTIF(PitRawData!$1:$1,DO_NOT_EDIT!A432)</f>
        <v>0</v>
      </c>
      <c r="C432" t="e">
        <f>MATCH(A432,PitRawData!$A$1:$AMK$1,0)</f>
        <v>#N/A</v>
      </c>
      <c r="D432" t="e">
        <f>INDEX(PitRawData!$A$1:$AMK$3,3,MATCH(DO_NOT_EDIT!A432,PitRawData!$A$1:$AMK$1,0))</f>
        <v>#N/A</v>
      </c>
      <c r="E432" t="s">
        <v>750</v>
      </c>
    </row>
    <row r="433" spans="1:5" x14ac:dyDescent="0.25">
      <c r="A433" t="s">
        <v>253</v>
      </c>
      <c r="B433">
        <f>COUNTIF(PitRawData!$1:$1,DO_NOT_EDIT!A433)</f>
        <v>0</v>
      </c>
      <c r="C433" t="e">
        <f>MATCH(A433,PitRawData!$A$1:$AMK$1,0)</f>
        <v>#N/A</v>
      </c>
      <c r="D433" t="e">
        <f>INDEX(PitRawData!$A$1:$AMK$3,3,MATCH(DO_NOT_EDIT!A433,PitRawData!$A$1:$AMK$1,0))</f>
        <v>#N/A</v>
      </c>
      <c r="E433" t="s">
        <v>750</v>
      </c>
    </row>
    <row r="434" spans="1:5" x14ac:dyDescent="0.25">
      <c r="A434" t="s">
        <v>235</v>
      </c>
      <c r="B434">
        <f>COUNTIF(PitRawData!$1:$1,DO_NOT_EDIT!A434)</f>
        <v>0</v>
      </c>
      <c r="C434" t="e">
        <f>MATCH(A434,PitRawData!$A$1:$AMK$1,0)</f>
        <v>#N/A</v>
      </c>
      <c r="D434" t="e">
        <f>INDEX(PitRawData!$A$1:$AMK$3,3,MATCH(DO_NOT_EDIT!A434,PitRawData!$A$1:$AMK$1,0))</f>
        <v>#N/A</v>
      </c>
      <c r="E434" t="s">
        <v>750</v>
      </c>
    </row>
    <row r="435" spans="1:5" x14ac:dyDescent="0.25">
      <c r="A435" t="s">
        <v>265</v>
      </c>
      <c r="B435">
        <f>COUNTIF(PitRawData!$1:$1,DO_NOT_EDIT!A435)</f>
        <v>0</v>
      </c>
      <c r="C435" t="e">
        <f>MATCH(A435,PitRawData!$A$1:$AMK$1,0)</f>
        <v>#N/A</v>
      </c>
      <c r="D435" t="e">
        <f>INDEX(PitRawData!$A$1:$AMK$3,3,MATCH(DO_NOT_EDIT!A435,PitRawData!$A$1:$AMK$1,0))</f>
        <v>#N/A</v>
      </c>
      <c r="E435" t="s">
        <v>750</v>
      </c>
    </row>
    <row r="436" spans="1:5" x14ac:dyDescent="0.25">
      <c r="A436" t="s">
        <v>245</v>
      </c>
      <c r="B436">
        <f>COUNTIF(PitRawData!$1:$1,DO_NOT_EDIT!A436)</f>
        <v>0</v>
      </c>
      <c r="C436" t="e">
        <f>MATCH(A436,PitRawData!$A$1:$AMK$1,0)</f>
        <v>#N/A</v>
      </c>
      <c r="D436" t="e">
        <f>INDEX(PitRawData!$A$1:$AMK$3,3,MATCH(DO_NOT_EDIT!A436,PitRawData!$A$1:$AMK$1,0))</f>
        <v>#N/A</v>
      </c>
      <c r="E436" t="s">
        <v>750</v>
      </c>
    </row>
    <row r="437" spans="1:5" x14ac:dyDescent="0.25">
      <c r="A437" t="s">
        <v>227</v>
      </c>
      <c r="B437">
        <f>COUNTIF(PitRawData!$1:$1,DO_NOT_EDIT!A437)</f>
        <v>0</v>
      </c>
      <c r="C437" t="e">
        <f>MATCH(A437,PitRawData!$A$1:$AMK$1,0)</f>
        <v>#N/A</v>
      </c>
      <c r="D437" t="e">
        <f>INDEX(PitRawData!$A$1:$AMK$3,3,MATCH(DO_NOT_EDIT!A437,PitRawData!$A$1:$AMK$1,0))</f>
        <v>#N/A</v>
      </c>
      <c r="E437" t="s">
        <v>750</v>
      </c>
    </row>
    <row r="438" spans="1:5" x14ac:dyDescent="0.25">
      <c r="A438" t="s">
        <v>266</v>
      </c>
      <c r="B438">
        <f>COUNTIF(PitRawData!$1:$1,DO_NOT_EDIT!A438)</f>
        <v>0</v>
      </c>
      <c r="C438" t="e">
        <f>MATCH(A438,PitRawData!$A$1:$AMK$1,0)</f>
        <v>#N/A</v>
      </c>
      <c r="D438" t="e">
        <f>INDEX(PitRawData!$A$1:$AMK$3,3,MATCH(DO_NOT_EDIT!A438,PitRawData!$A$1:$AMK$1,0))</f>
        <v>#N/A</v>
      </c>
      <c r="E438" t="s">
        <v>750</v>
      </c>
    </row>
    <row r="439" spans="1:5" x14ac:dyDescent="0.25">
      <c r="A439" t="s">
        <v>246</v>
      </c>
      <c r="B439">
        <f>COUNTIF(PitRawData!$1:$1,DO_NOT_EDIT!A439)</f>
        <v>0</v>
      </c>
      <c r="C439" t="e">
        <f>MATCH(A439,PitRawData!$A$1:$AMK$1,0)</f>
        <v>#N/A</v>
      </c>
      <c r="D439" t="e">
        <f>INDEX(PitRawData!$A$1:$AMK$3,3,MATCH(DO_NOT_EDIT!A439,PitRawData!$A$1:$AMK$1,0))</f>
        <v>#N/A</v>
      </c>
      <c r="E439" t="s">
        <v>750</v>
      </c>
    </row>
    <row r="440" spans="1:5" x14ac:dyDescent="0.25">
      <c r="A440" t="s">
        <v>228</v>
      </c>
      <c r="B440">
        <f>COUNTIF(PitRawData!$1:$1,DO_NOT_EDIT!A440)</f>
        <v>0</v>
      </c>
      <c r="C440" t="e">
        <f>MATCH(A440,PitRawData!$A$1:$AMK$1,0)</f>
        <v>#N/A</v>
      </c>
      <c r="D440" t="e">
        <f>INDEX(PitRawData!$A$1:$AMK$3,3,MATCH(DO_NOT_EDIT!A440,PitRawData!$A$1:$AMK$1,0))</f>
        <v>#N/A</v>
      </c>
      <c r="E440" t="s">
        <v>750</v>
      </c>
    </row>
    <row r="441" spans="1:5" x14ac:dyDescent="0.25">
      <c r="A441" t="s">
        <v>261</v>
      </c>
      <c r="B441">
        <f>COUNTIF(PitRawData!$1:$1,DO_NOT_EDIT!A441)</f>
        <v>0</v>
      </c>
      <c r="C441" t="e">
        <f>MATCH(A441,PitRawData!$A$1:$AMK$1,0)</f>
        <v>#N/A</v>
      </c>
      <c r="D441" t="e">
        <f>INDEX(PitRawData!$A$1:$AMK$3,3,MATCH(DO_NOT_EDIT!A441,PitRawData!$A$1:$AMK$1,0))</f>
        <v>#N/A</v>
      </c>
      <c r="E441" t="s">
        <v>750</v>
      </c>
    </row>
    <row r="442" spans="1:5" x14ac:dyDescent="0.25">
      <c r="A442" t="s">
        <v>241</v>
      </c>
      <c r="B442">
        <f>COUNTIF(PitRawData!$1:$1,DO_NOT_EDIT!A442)</f>
        <v>0</v>
      </c>
      <c r="C442" t="e">
        <f>MATCH(A442,PitRawData!$A$1:$AMK$1,0)</f>
        <v>#N/A</v>
      </c>
      <c r="D442" t="e">
        <f>INDEX(PitRawData!$A$1:$AMK$3,3,MATCH(DO_NOT_EDIT!A442,PitRawData!$A$1:$AMK$1,0))</f>
        <v>#N/A</v>
      </c>
      <c r="E442" t="s">
        <v>750</v>
      </c>
    </row>
    <row r="443" spans="1:5" x14ac:dyDescent="0.25">
      <c r="A443" t="s">
        <v>223</v>
      </c>
      <c r="B443">
        <f>COUNTIF(PitRawData!$1:$1,DO_NOT_EDIT!A443)</f>
        <v>0</v>
      </c>
      <c r="C443" t="e">
        <f>MATCH(A443,PitRawData!$A$1:$AMK$1,0)</f>
        <v>#N/A</v>
      </c>
      <c r="D443" t="e">
        <f>INDEX(PitRawData!$A$1:$AMK$3,3,MATCH(DO_NOT_EDIT!A443,PitRawData!$A$1:$AMK$1,0))</f>
        <v>#N/A</v>
      </c>
      <c r="E443" t="s">
        <v>750</v>
      </c>
    </row>
    <row r="444" spans="1:5" x14ac:dyDescent="0.25">
      <c r="A444" t="s">
        <v>262</v>
      </c>
      <c r="B444">
        <f>COUNTIF(PitRawData!$1:$1,DO_NOT_EDIT!A444)</f>
        <v>0</v>
      </c>
      <c r="C444" t="e">
        <f>MATCH(A444,PitRawData!$A$1:$AMK$1,0)</f>
        <v>#N/A</v>
      </c>
      <c r="D444" t="e">
        <f>INDEX(PitRawData!$A$1:$AMK$3,3,MATCH(DO_NOT_EDIT!A444,PitRawData!$A$1:$AMK$1,0))</f>
        <v>#N/A</v>
      </c>
      <c r="E444" t="s">
        <v>750</v>
      </c>
    </row>
    <row r="445" spans="1:5" x14ac:dyDescent="0.25">
      <c r="A445" t="s">
        <v>242</v>
      </c>
      <c r="B445">
        <f>COUNTIF(PitRawData!$1:$1,DO_NOT_EDIT!A445)</f>
        <v>0</v>
      </c>
      <c r="C445" t="e">
        <f>MATCH(A445,PitRawData!$A$1:$AMK$1,0)</f>
        <v>#N/A</v>
      </c>
      <c r="D445" t="e">
        <f>INDEX(PitRawData!$A$1:$AMK$3,3,MATCH(DO_NOT_EDIT!A445,PitRawData!$A$1:$AMK$1,0))</f>
        <v>#N/A</v>
      </c>
      <c r="E445" t="s">
        <v>750</v>
      </c>
    </row>
    <row r="446" spans="1:5" x14ac:dyDescent="0.25">
      <c r="A446" t="s">
        <v>224</v>
      </c>
      <c r="B446">
        <f>COUNTIF(PitRawData!$1:$1,DO_NOT_EDIT!A446)</f>
        <v>0</v>
      </c>
      <c r="C446" t="e">
        <f>MATCH(A446,PitRawData!$A$1:$AMK$1,0)</f>
        <v>#N/A</v>
      </c>
      <c r="D446" t="e">
        <f>INDEX(PitRawData!$A$1:$AMK$3,3,MATCH(DO_NOT_EDIT!A446,PitRawData!$A$1:$AMK$1,0))</f>
        <v>#N/A</v>
      </c>
      <c r="E446" t="s">
        <v>750</v>
      </c>
    </row>
    <row r="447" spans="1:5" x14ac:dyDescent="0.25">
      <c r="A447" t="s">
        <v>259</v>
      </c>
      <c r="B447">
        <f>COUNTIF(PitRawData!$1:$1,DO_NOT_EDIT!A447)</f>
        <v>0</v>
      </c>
      <c r="C447" t="e">
        <f>MATCH(A447,PitRawData!$A$1:$AMK$1,0)</f>
        <v>#N/A</v>
      </c>
      <c r="D447" t="e">
        <f>INDEX(PitRawData!$A$1:$AMK$3,3,MATCH(DO_NOT_EDIT!A447,PitRawData!$A$1:$AMK$1,0))</f>
        <v>#N/A</v>
      </c>
      <c r="E447" t="s">
        <v>750</v>
      </c>
    </row>
    <row r="448" spans="1:5" x14ac:dyDescent="0.25">
      <c r="A448" t="s">
        <v>239</v>
      </c>
      <c r="B448">
        <f>COUNTIF(PitRawData!$1:$1,DO_NOT_EDIT!A448)</f>
        <v>0</v>
      </c>
      <c r="C448" t="e">
        <f>MATCH(A448,PitRawData!$A$1:$AMK$1,0)</f>
        <v>#N/A</v>
      </c>
      <c r="D448" t="e">
        <f>INDEX(PitRawData!$A$1:$AMK$3,3,MATCH(DO_NOT_EDIT!A448,PitRawData!$A$1:$AMK$1,0))</f>
        <v>#N/A</v>
      </c>
      <c r="E448" t="s">
        <v>750</v>
      </c>
    </row>
    <row r="449" spans="1:5" x14ac:dyDescent="0.25">
      <c r="A449" t="s">
        <v>221</v>
      </c>
      <c r="B449">
        <f>COUNTIF(PitRawData!$1:$1,DO_NOT_EDIT!A449)</f>
        <v>0</v>
      </c>
      <c r="C449" t="e">
        <f>MATCH(A449,PitRawData!$A$1:$AMK$1,0)</f>
        <v>#N/A</v>
      </c>
      <c r="D449" t="e">
        <f>INDEX(PitRawData!$A$1:$AMK$3,3,MATCH(DO_NOT_EDIT!A449,PitRawData!$A$1:$AMK$1,0))</f>
        <v>#N/A</v>
      </c>
      <c r="E449" t="s">
        <v>750</v>
      </c>
    </row>
    <row r="450" spans="1:5" x14ac:dyDescent="0.25">
      <c r="A450" t="s">
        <v>260</v>
      </c>
      <c r="B450">
        <f>COUNTIF(PitRawData!$1:$1,DO_NOT_EDIT!A450)</f>
        <v>0</v>
      </c>
      <c r="C450" t="e">
        <f>MATCH(A450,PitRawData!$A$1:$AMK$1,0)</f>
        <v>#N/A</v>
      </c>
      <c r="D450" t="e">
        <f>INDEX(PitRawData!$A$1:$AMK$3,3,MATCH(DO_NOT_EDIT!A450,PitRawData!$A$1:$AMK$1,0))</f>
        <v>#N/A</v>
      </c>
      <c r="E450" t="s">
        <v>750</v>
      </c>
    </row>
    <row r="451" spans="1:5" x14ac:dyDescent="0.25">
      <c r="A451" t="s">
        <v>240</v>
      </c>
      <c r="B451">
        <f>COUNTIF(PitRawData!$1:$1,DO_NOT_EDIT!A451)</f>
        <v>0</v>
      </c>
      <c r="C451" t="e">
        <f>MATCH(A451,PitRawData!$A$1:$AMK$1,0)</f>
        <v>#N/A</v>
      </c>
      <c r="D451" t="e">
        <f>INDEX(PitRawData!$A$1:$AMK$3,3,MATCH(DO_NOT_EDIT!A451,PitRawData!$A$1:$AMK$1,0))</f>
        <v>#N/A</v>
      </c>
      <c r="E451" t="s">
        <v>750</v>
      </c>
    </row>
    <row r="452" spans="1:5" x14ac:dyDescent="0.25">
      <c r="A452" t="s">
        <v>222</v>
      </c>
      <c r="B452">
        <f>COUNTIF(PitRawData!$1:$1,DO_NOT_EDIT!A452)</f>
        <v>0</v>
      </c>
      <c r="C452" t="e">
        <f>MATCH(A452,PitRawData!$A$1:$AMK$1,0)</f>
        <v>#N/A</v>
      </c>
      <c r="D452" t="e">
        <f>INDEX(PitRawData!$A$1:$AMK$3,3,MATCH(DO_NOT_EDIT!A452,PitRawData!$A$1:$AMK$1,0))</f>
        <v>#N/A</v>
      </c>
      <c r="E452" t="s">
        <v>750</v>
      </c>
    </row>
    <row r="453" spans="1:5" x14ac:dyDescent="0.25">
      <c r="A453" t="s">
        <v>264</v>
      </c>
      <c r="B453">
        <f>COUNTIF(PitRawData!$1:$1,DO_NOT_EDIT!A453)</f>
        <v>0</v>
      </c>
      <c r="C453" t="e">
        <f>MATCH(A453,PitRawData!$A$1:$AMK$1,0)</f>
        <v>#N/A</v>
      </c>
      <c r="D453" t="e">
        <f>INDEX(PitRawData!$A$1:$AMK$3,3,MATCH(DO_NOT_EDIT!A453,PitRawData!$A$1:$AMK$1,0))</f>
        <v>#N/A</v>
      </c>
      <c r="E453" t="s">
        <v>750</v>
      </c>
    </row>
    <row r="454" spans="1:5" x14ac:dyDescent="0.25">
      <c r="A454" t="s">
        <v>244</v>
      </c>
      <c r="B454">
        <f>COUNTIF(PitRawData!$1:$1,DO_NOT_EDIT!A454)</f>
        <v>0</v>
      </c>
      <c r="C454" t="e">
        <f>MATCH(A454,PitRawData!$A$1:$AMK$1,0)</f>
        <v>#N/A</v>
      </c>
      <c r="D454" t="e">
        <f>INDEX(PitRawData!$A$1:$AMK$3,3,MATCH(DO_NOT_EDIT!A454,PitRawData!$A$1:$AMK$1,0))</f>
        <v>#N/A</v>
      </c>
      <c r="E454" t="s">
        <v>750</v>
      </c>
    </row>
    <row r="455" spans="1:5" x14ac:dyDescent="0.25">
      <c r="A455" t="s">
        <v>226</v>
      </c>
      <c r="B455">
        <f>COUNTIF(PitRawData!$1:$1,DO_NOT_EDIT!A455)</f>
        <v>0</v>
      </c>
      <c r="C455" t="e">
        <f>MATCH(A455,PitRawData!$A$1:$AMK$1,0)</f>
        <v>#N/A</v>
      </c>
      <c r="D455" t="e">
        <f>INDEX(PitRawData!$A$1:$AMK$3,3,MATCH(DO_NOT_EDIT!A455,PitRawData!$A$1:$AMK$1,0))</f>
        <v>#N/A</v>
      </c>
      <c r="E455" t="s">
        <v>750</v>
      </c>
    </row>
    <row r="456" spans="1:5" x14ac:dyDescent="0.25">
      <c r="A456" t="s">
        <v>263</v>
      </c>
      <c r="B456">
        <f>COUNTIF(PitRawData!$1:$1,DO_NOT_EDIT!A456)</f>
        <v>0</v>
      </c>
      <c r="C456" t="e">
        <f>MATCH(A456,PitRawData!$A$1:$AMK$1,0)</f>
        <v>#N/A</v>
      </c>
      <c r="D456" t="e">
        <f>INDEX(PitRawData!$A$1:$AMK$3,3,MATCH(DO_NOT_EDIT!A456,PitRawData!$A$1:$AMK$1,0))</f>
        <v>#N/A</v>
      </c>
      <c r="E456" t="s">
        <v>750</v>
      </c>
    </row>
    <row r="457" spans="1:5" x14ac:dyDescent="0.25">
      <c r="A457" t="s">
        <v>243</v>
      </c>
      <c r="B457">
        <f>COUNTIF(PitRawData!$1:$1,DO_NOT_EDIT!A457)</f>
        <v>0</v>
      </c>
      <c r="C457" t="e">
        <f>MATCH(A457,PitRawData!$A$1:$AMK$1,0)</f>
        <v>#N/A</v>
      </c>
      <c r="D457" t="e">
        <f>INDEX(PitRawData!$A$1:$AMK$3,3,MATCH(DO_NOT_EDIT!A457,PitRawData!$A$1:$AMK$1,0))</f>
        <v>#N/A</v>
      </c>
      <c r="E457" t="s">
        <v>750</v>
      </c>
    </row>
    <row r="458" spans="1:5" x14ac:dyDescent="0.25">
      <c r="A458" t="s">
        <v>225</v>
      </c>
      <c r="B458">
        <f>COUNTIF(PitRawData!$1:$1,DO_NOT_EDIT!A458)</f>
        <v>0</v>
      </c>
      <c r="C458" t="e">
        <f>MATCH(A458,PitRawData!$A$1:$AMK$1,0)</f>
        <v>#N/A</v>
      </c>
      <c r="D458" t="e">
        <f>INDEX(PitRawData!$A$1:$AMK$3,3,MATCH(DO_NOT_EDIT!A458,PitRawData!$A$1:$AMK$1,0))</f>
        <v>#N/A</v>
      </c>
      <c r="E458" t="s">
        <v>750</v>
      </c>
    </row>
    <row r="459" spans="1:5" x14ac:dyDescent="0.25">
      <c r="A459" t="s">
        <v>258</v>
      </c>
      <c r="B459">
        <f>COUNTIF(PitRawData!$1:$1,DO_NOT_EDIT!A459)</f>
        <v>0</v>
      </c>
      <c r="C459" t="e">
        <f>MATCH(A459,PitRawData!$A$1:$AMK$1,0)</f>
        <v>#N/A</v>
      </c>
      <c r="D459" t="e">
        <f>INDEX(PitRawData!$A$1:$AMK$3,3,MATCH(DO_NOT_EDIT!A459,PitRawData!$A$1:$AMK$1,0))</f>
        <v>#N/A</v>
      </c>
      <c r="E459" t="s">
        <v>750</v>
      </c>
    </row>
    <row r="460" spans="1:5" x14ac:dyDescent="0.25">
      <c r="A460" t="s">
        <v>220</v>
      </c>
      <c r="B460">
        <f>COUNTIF(PitRawData!$1:$1,DO_NOT_EDIT!A460)</f>
        <v>0</v>
      </c>
      <c r="C460" t="e">
        <f>MATCH(A460,PitRawData!$A$1:$AMK$1,0)</f>
        <v>#N/A</v>
      </c>
      <c r="D460" t="e">
        <f>INDEX(PitRawData!$A$1:$AMK$3,3,MATCH(DO_NOT_EDIT!A460,PitRawData!$A$1:$AMK$1,0))</f>
        <v>#N/A</v>
      </c>
      <c r="E460" t="s">
        <v>750</v>
      </c>
    </row>
    <row r="461" spans="1:5" x14ac:dyDescent="0.25">
      <c r="A461" t="s">
        <v>257</v>
      </c>
      <c r="B461">
        <f>COUNTIF(PitRawData!$1:$1,DO_NOT_EDIT!A461)</f>
        <v>0</v>
      </c>
      <c r="C461" t="e">
        <f>MATCH(A461,PitRawData!$A$1:$AMK$1,0)</f>
        <v>#N/A</v>
      </c>
      <c r="D461" t="e">
        <f>INDEX(PitRawData!$A$1:$AMK$3,3,MATCH(DO_NOT_EDIT!A461,PitRawData!$A$1:$AMK$1,0))</f>
        <v>#N/A</v>
      </c>
      <c r="E461" t="s">
        <v>750</v>
      </c>
    </row>
    <row r="462" spans="1:5" x14ac:dyDescent="0.25">
      <c r="A462" t="s">
        <v>219</v>
      </c>
      <c r="B462">
        <f>COUNTIF(PitRawData!$1:$1,DO_NOT_EDIT!A462)</f>
        <v>0</v>
      </c>
      <c r="C462" t="e">
        <f>MATCH(A462,PitRawData!$A$1:$AMK$1,0)</f>
        <v>#N/A</v>
      </c>
      <c r="D462" t="e">
        <f>INDEX(PitRawData!$A$1:$AMK$3,3,MATCH(DO_NOT_EDIT!A462,PitRawData!$A$1:$AMK$1,0))</f>
        <v>#N/A</v>
      </c>
      <c r="E462" t="s">
        <v>750</v>
      </c>
    </row>
    <row r="463" spans="1:5" x14ac:dyDescent="0.25">
      <c r="A463" t="s">
        <v>217</v>
      </c>
      <c r="B463">
        <f>COUNTIF(PitRawData!$1:$1,DO_NOT_EDIT!A463)</f>
        <v>0</v>
      </c>
      <c r="C463" t="e">
        <f>MATCH(A463,PitRawData!$A$1:$AMK$1,0)</f>
        <v>#N/A</v>
      </c>
      <c r="D463" t="e">
        <f>INDEX(PitRawData!$A$1:$AMK$3,3,MATCH(DO_NOT_EDIT!A463,PitRawData!$A$1:$AMK$1,0))</f>
        <v>#N/A</v>
      </c>
      <c r="E463" t="s">
        <v>751</v>
      </c>
    </row>
    <row r="464" spans="1:5" x14ac:dyDescent="0.25">
      <c r="A464" t="s">
        <v>198</v>
      </c>
      <c r="B464">
        <f>COUNTIF(PitRawData!$1:$1,DO_NOT_EDIT!A464)</f>
        <v>0</v>
      </c>
      <c r="C464" t="e">
        <f>MATCH(A464,PitRawData!$A$1:$AMK$1,0)</f>
        <v>#N/A</v>
      </c>
      <c r="D464" t="e">
        <f>INDEX(PitRawData!$A$1:$AMK$3,3,MATCH(DO_NOT_EDIT!A464,PitRawData!$A$1:$AMK$1,0))</f>
        <v>#N/A</v>
      </c>
      <c r="E464" t="s">
        <v>751</v>
      </c>
    </row>
    <row r="465" spans="1:5" x14ac:dyDescent="0.25">
      <c r="A465" t="s">
        <v>180</v>
      </c>
      <c r="B465">
        <f>COUNTIF(PitRawData!$1:$1,DO_NOT_EDIT!A465)</f>
        <v>0</v>
      </c>
      <c r="C465" t="e">
        <f>MATCH(A465,PitRawData!$A$1:$AMK$1,0)</f>
        <v>#N/A</v>
      </c>
      <c r="D465" t="e">
        <f>INDEX(PitRawData!$A$1:$AMK$3,3,MATCH(DO_NOT_EDIT!A465,PitRawData!$A$1:$AMK$1,0))</f>
        <v>#N/A</v>
      </c>
      <c r="E465" t="s">
        <v>751</v>
      </c>
    </row>
    <row r="466" spans="1:5" x14ac:dyDescent="0.25">
      <c r="A466" t="s">
        <v>161</v>
      </c>
      <c r="B466">
        <f>COUNTIF(PitRawData!$1:$1,DO_NOT_EDIT!A466)</f>
        <v>0</v>
      </c>
      <c r="C466" t="e">
        <f>MATCH(A466,PitRawData!$A$1:$AMK$1,0)</f>
        <v>#N/A</v>
      </c>
      <c r="D466" t="e">
        <f>INDEX(PitRawData!$A$1:$AMK$3,3,MATCH(DO_NOT_EDIT!A466,PitRawData!$A$1:$AMK$1,0))</f>
        <v>#N/A</v>
      </c>
      <c r="E466" t="s">
        <v>751</v>
      </c>
    </row>
    <row r="467" spans="1:5" x14ac:dyDescent="0.25">
      <c r="A467" t="s">
        <v>216</v>
      </c>
      <c r="B467">
        <f>COUNTIF(PitRawData!$1:$1,DO_NOT_EDIT!A467)</f>
        <v>0</v>
      </c>
      <c r="C467" t="e">
        <f>MATCH(A467,PitRawData!$A$1:$AMK$1,0)</f>
        <v>#N/A</v>
      </c>
      <c r="D467" t="e">
        <f>INDEX(PitRawData!$A$1:$AMK$3,3,MATCH(DO_NOT_EDIT!A467,PitRawData!$A$1:$AMK$1,0))</f>
        <v>#N/A</v>
      </c>
      <c r="E467" t="s">
        <v>751</v>
      </c>
    </row>
    <row r="468" spans="1:5" x14ac:dyDescent="0.25">
      <c r="A468" t="s">
        <v>197</v>
      </c>
      <c r="B468">
        <f>COUNTIF(PitRawData!$1:$1,DO_NOT_EDIT!A468)</f>
        <v>0</v>
      </c>
      <c r="C468" t="e">
        <f>MATCH(A468,PitRawData!$A$1:$AMK$1,0)</f>
        <v>#N/A</v>
      </c>
      <c r="D468" t="e">
        <f>INDEX(PitRawData!$A$1:$AMK$3,3,MATCH(DO_NOT_EDIT!A468,PitRawData!$A$1:$AMK$1,0))</f>
        <v>#N/A</v>
      </c>
      <c r="E468" t="s">
        <v>751</v>
      </c>
    </row>
    <row r="469" spans="1:5" x14ac:dyDescent="0.25">
      <c r="A469" t="s">
        <v>179</v>
      </c>
      <c r="B469">
        <f>COUNTIF(PitRawData!$1:$1,DO_NOT_EDIT!A469)</f>
        <v>0</v>
      </c>
      <c r="C469" t="e">
        <f>MATCH(A469,PitRawData!$A$1:$AMK$1,0)</f>
        <v>#N/A</v>
      </c>
      <c r="D469" t="e">
        <f>INDEX(PitRawData!$A$1:$AMK$3,3,MATCH(DO_NOT_EDIT!A469,PitRawData!$A$1:$AMK$1,0))</f>
        <v>#N/A</v>
      </c>
      <c r="E469" t="s">
        <v>751</v>
      </c>
    </row>
    <row r="470" spans="1:5" x14ac:dyDescent="0.25">
      <c r="A470" t="s">
        <v>160</v>
      </c>
      <c r="B470">
        <f>COUNTIF(PitRawData!$1:$1,DO_NOT_EDIT!A470)</f>
        <v>0</v>
      </c>
      <c r="C470" t="e">
        <f>MATCH(A470,PitRawData!$A$1:$AMK$1,0)</f>
        <v>#N/A</v>
      </c>
      <c r="D470" t="e">
        <f>INDEX(PitRawData!$A$1:$AMK$3,3,MATCH(DO_NOT_EDIT!A470,PitRawData!$A$1:$AMK$1,0))</f>
        <v>#N/A</v>
      </c>
      <c r="E470" t="s">
        <v>751</v>
      </c>
    </row>
    <row r="471" spans="1:5" x14ac:dyDescent="0.25">
      <c r="A471" t="s">
        <v>215</v>
      </c>
      <c r="B471">
        <f>COUNTIF(PitRawData!$1:$1,DO_NOT_EDIT!A471)</f>
        <v>0</v>
      </c>
      <c r="C471" t="e">
        <f>MATCH(A471,PitRawData!$A$1:$AMK$1,0)</f>
        <v>#N/A</v>
      </c>
      <c r="D471" t="e">
        <f>INDEX(PitRawData!$A$1:$AMK$3,3,MATCH(DO_NOT_EDIT!A471,PitRawData!$A$1:$AMK$1,0))</f>
        <v>#N/A</v>
      </c>
      <c r="E471" t="s">
        <v>751</v>
      </c>
    </row>
    <row r="472" spans="1:5" x14ac:dyDescent="0.25">
      <c r="A472" t="s">
        <v>196</v>
      </c>
      <c r="B472">
        <f>COUNTIF(PitRawData!$1:$1,DO_NOT_EDIT!A472)</f>
        <v>0</v>
      </c>
      <c r="C472" t="e">
        <f>MATCH(A472,PitRawData!$A$1:$AMK$1,0)</f>
        <v>#N/A</v>
      </c>
      <c r="D472" t="e">
        <f>INDEX(PitRawData!$A$1:$AMK$3,3,MATCH(DO_NOT_EDIT!A472,PitRawData!$A$1:$AMK$1,0))</f>
        <v>#N/A</v>
      </c>
      <c r="E472" t="s">
        <v>751</v>
      </c>
    </row>
    <row r="473" spans="1:5" x14ac:dyDescent="0.25">
      <c r="A473" t="s">
        <v>178</v>
      </c>
      <c r="B473">
        <f>COUNTIF(PitRawData!$1:$1,DO_NOT_EDIT!A473)</f>
        <v>0</v>
      </c>
      <c r="C473" t="e">
        <f>MATCH(A473,PitRawData!$A$1:$AMK$1,0)</f>
        <v>#N/A</v>
      </c>
      <c r="D473" t="e">
        <f>INDEX(PitRawData!$A$1:$AMK$3,3,MATCH(DO_NOT_EDIT!A473,PitRawData!$A$1:$AMK$1,0))</f>
        <v>#N/A</v>
      </c>
      <c r="E473" t="s">
        <v>751</v>
      </c>
    </row>
    <row r="474" spans="1:5" x14ac:dyDescent="0.25">
      <c r="A474" t="s">
        <v>159</v>
      </c>
      <c r="B474">
        <f>COUNTIF(PitRawData!$1:$1,DO_NOT_EDIT!A474)</f>
        <v>0</v>
      </c>
      <c r="C474" t="e">
        <f>MATCH(A474,PitRawData!$A$1:$AMK$1,0)</f>
        <v>#N/A</v>
      </c>
      <c r="D474" t="e">
        <f>INDEX(PitRawData!$A$1:$AMK$3,3,MATCH(DO_NOT_EDIT!A474,PitRawData!$A$1:$AMK$1,0))</f>
        <v>#N/A</v>
      </c>
      <c r="E474" t="s">
        <v>751</v>
      </c>
    </row>
    <row r="475" spans="1:5" x14ac:dyDescent="0.25">
      <c r="A475" t="s">
        <v>212</v>
      </c>
      <c r="B475">
        <f>COUNTIF(PitRawData!$1:$1,DO_NOT_EDIT!A475)</f>
        <v>0</v>
      </c>
      <c r="C475" t="e">
        <f>MATCH(A475,PitRawData!$A$1:$AMK$1,0)</f>
        <v>#N/A</v>
      </c>
      <c r="D475" t="e">
        <f>INDEX(PitRawData!$A$1:$AMK$3,3,MATCH(DO_NOT_EDIT!A475,PitRawData!$A$1:$AMK$1,0))</f>
        <v>#N/A</v>
      </c>
      <c r="E475" t="s">
        <v>751</v>
      </c>
    </row>
    <row r="476" spans="1:5" x14ac:dyDescent="0.25">
      <c r="A476" t="s">
        <v>193</v>
      </c>
      <c r="B476">
        <f>COUNTIF(PitRawData!$1:$1,DO_NOT_EDIT!A476)</f>
        <v>0</v>
      </c>
      <c r="C476" t="e">
        <f>MATCH(A476,PitRawData!$A$1:$AMK$1,0)</f>
        <v>#N/A</v>
      </c>
      <c r="D476" t="e">
        <f>INDEX(PitRawData!$A$1:$AMK$3,3,MATCH(DO_NOT_EDIT!A476,PitRawData!$A$1:$AMK$1,0))</f>
        <v>#N/A</v>
      </c>
      <c r="E476" t="s">
        <v>751</v>
      </c>
    </row>
    <row r="477" spans="1:5" x14ac:dyDescent="0.25">
      <c r="A477" t="s">
        <v>175</v>
      </c>
      <c r="B477">
        <f>COUNTIF(PitRawData!$1:$1,DO_NOT_EDIT!A477)</f>
        <v>0</v>
      </c>
      <c r="C477" t="e">
        <f>MATCH(A477,PitRawData!$A$1:$AMK$1,0)</f>
        <v>#N/A</v>
      </c>
      <c r="D477" t="e">
        <f>INDEX(PitRawData!$A$1:$AMK$3,3,MATCH(DO_NOT_EDIT!A477,PitRawData!$A$1:$AMK$1,0))</f>
        <v>#N/A</v>
      </c>
      <c r="E477" t="s">
        <v>751</v>
      </c>
    </row>
    <row r="478" spans="1:5" x14ac:dyDescent="0.25">
      <c r="A478" t="s">
        <v>156</v>
      </c>
      <c r="B478">
        <f>COUNTIF(PitRawData!$1:$1,DO_NOT_EDIT!A478)</f>
        <v>0</v>
      </c>
      <c r="C478" t="e">
        <f>MATCH(A478,PitRawData!$A$1:$AMK$1,0)</f>
        <v>#N/A</v>
      </c>
      <c r="D478" t="e">
        <f>INDEX(PitRawData!$A$1:$AMK$3,3,MATCH(DO_NOT_EDIT!A478,PitRawData!$A$1:$AMK$1,0))</f>
        <v>#N/A</v>
      </c>
      <c r="E478" t="s">
        <v>751</v>
      </c>
    </row>
    <row r="479" spans="1:5" x14ac:dyDescent="0.25">
      <c r="A479" t="s">
        <v>213</v>
      </c>
      <c r="B479">
        <f>COUNTIF(PitRawData!$1:$1,DO_NOT_EDIT!A479)</f>
        <v>0</v>
      </c>
      <c r="C479" t="e">
        <f>MATCH(A479,PitRawData!$A$1:$AMK$1,0)</f>
        <v>#N/A</v>
      </c>
      <c r="D479" t="e">
        <f>INDEX(PitRawData!$A$1:$AMK$3,3,MATCH(DO_NOT_EDIT!A479,PitRawData!$A$1:$AMK$1,0))</f>
        <v>#N/A</v>
      </c>
      <c r="E479" t="s">
        <v>751</v>
      </c>
    </row>
    <row r="480" spans="1:5" x14ac:dyDescent="0.25">
      <c r="A480" t="s">
        <v>194</v>
      </c>
      <c r="B480">
        <f>COUNTIF(PitRawData!$1:$1,DO_NOT_EDIT!A480)</f>
        <v>0</v>
      </c>
      <c r="C480" t="e">
        <f>MATCH(A480,PitRawData!$A$1:$AMK$1,0)</f>
        <v>#N/A</v>
      </c>
      <c r="D480" t="e">
        <f>INDEX(PitRawData!$A$1:$AMK$3,3,MATCH(DO_NOT_EDIT!A480,PitRawData!$A$1:$AMK$1,0))</f>
        <v>#N/A</v>
      </c>
      <c r="E480" t="s">
        <v>751</v>
      </c>
    </row>
    <row r="481" spans="1:5" x14ac:dyDescent="0.25">
      <c r="A481" t="s">
        <v>176</v>
      </c>
      <c r="B481">
        <f>COUNTIF(PitRawData!$1:$1,DO_NOT_EDIT!A481)</f>
        <v>0</v>
      </c>
      <c r="C481" t="e">
        <f>MATCH(A481,PitRawData!$A$1:$AMK$1,0)</f>
        <v>#N/A</v>
      </c>
      <c r="D481" t="e">
        <f>INDEX(PitRawData!$A$1:$AMK$3,3,MATCH(DO_NOT_EDIT!A481,PitRawData!$A$1:$AMK$1,0))</f>
        <v>#N/A</v>
      </c>
      <c r="E481" t="s">
        <v>751</v>
      </c>
    </row>
    <row r="482" spans="1:5" x14ac:dyDescent="0.25">
      <c r="A482" t="s">
        <v>157</v>
      </c>
      <c r="B482">
        <f>COUNTIF(PitRawData!$1:$1,DO_NOT_EDIT!A482)</f>
        <v>0</v>
      </c>
      <c r="C482" t="e">
        <f>MATCH(A482,PitRawData!$A$1:$AMK$1,0)</f>
        <v>#N/A</v>
      </c>
      <c r="D482" t="e">
        <f>INDEX(PitRawData!$A$1:$AMK$3,3,MATCH(DO_NOT_EDIT!A482,PitRawData!$A$1:$AMK$1,0))</f>
        <v>#N/A</v>
      </c>
      <c r="E482" t="s">
        <v>751</v>
      </c>
    </row>
    <row r="483" spans="1:5" x14ac:dyDescent="0.25">
      <c r="A483" t="s">
        <v>210</v>
      </c>
      <c r="B483">
        <f>COUNTIF(PitRawData!$1:$1,DO_NOT_EDIT!A483)</f>
        <v>0</v>
      </c>
      <c r="C483" t="e">
        <f>MATCH(A483,PitRawData!$A$1:$AMK$1,0)</f>
        <v>#N/A</v>
      </c>
      <c r="D483" t="e">
        <f>INDEX(PitRawData!$A$1:$AMK$3,3,MATCH(DO_NOT_EDIT!A483,PitRawData!$A$1:$AMK$1,0))</f>
        <v>#N/A</v>
      </c>
      <c r="E483" t="s">
        <v>751</v>
      </c>
    </row>
    <row r="484" spans="1:5" x14ac:dyDescent="0.25">
      <c r="A484" t="s">
        <v>191</v>
      </c>
      <c r="B484">
        <f>COUNTIF(PitRawData!$1:$1,DO_NOT_EDIT!A484)</f>
        <v>0</v>
      </c>
      <c r="C484" t="e">
        <f>MATCH(A484,PitRawData!$A$1:$AMK$1,0)</f>
        <v>#N/A</v>
      </c>
      <c r="D484" t="e">
        <f>INDEX(PitRawData!$A$1:$AMK$3,3,MATCH(DO_NOT_EDIT!A484,PitRawData!$A$1:$AMK$1,0))</f>
        <v>#N/A</v>
      </c>
      <c r="E484" t="s">
        <v>751</v>
      </c>
    </row>
    <row r="485" spans="1:5" x14ac:dyDescent="0.25">
      <c r="A485" t="s">
        <v>173</v>
      </c>
      <c r="B485">
        <f>COUNTIF(PitRawData!$1:$1,DO_NOT_EDIT!A485)</f>
        <v>0</v>
      </c>
      <c r="C485" t="e">
        <f>MATCH(A485,PitRawData!$A$1:$AMK$1,0)</f>
        <v>#N/A</v>
      </c>
      <c r="D485" t="e">
        <f>INDEX(PitRawData!$A$1:$AMK$3,3,MATCH(DO_NOT_EDIT!A485,PitRawData!$A$1:$AMK$1,0))</f>
        <v>#N/A</v>
      </c>
      <c r="E485" t="s">
        <v>751</v>
      </c>
    </row>
    <row r="486" spans="1:5" x14ac:dyDescent="0.25">
      <c r="A486" t="s">
        <v>154</v>
      </c>
      <c r="B486">
        <f>COUNTIF(PitRawData!$1:$1,DO_NOT_EDIT!A486)</f>
        <v>0</v>
      </c>
      <c r="C486" t="e">
        <f>MATCH(A486,PitRawData!$A$1:$AMK$1,0)</f>
        <v>#N/A</v>
      </c>
      <c r="D486" t="e">
        <f>INDEX(PitRawData!$A$1:$AMK$3,3,MATCH(DO_NOT_EDIT!A486,PitRawData!$A$1:$AMK$1,0))</f>
        <v>#N/A</v>
      </c>
      <c r="E486" t="s">
        <v>751</v>
      </c>
    </row>
    <row r="487" spans="1:5" x14ac:dyDescent="0.25">
      <c r="A487" t="s">
        <v>211</v>
      </c>
      <c r="B487">
        <f>COUNTIF(PitRawData!$1:$1,DO_NOT_EDIT!A487)</f>
        <v>0</v>
      </c>
      <c r="C487" t="e">
        <f>MATCH(A487,PitRawData!$A$1:$AMK$1,0)</f>
        <v>#N/A</v>
      </c>
      <c r="D487" t="e">
        <f>INDEX(PitRawData!$A$1:$AMK$3,3,MATCH(DO_NOT_EDIT!A487,PitRawData!$A$1:$AMK$1,0))</f>
        <v>#N/A</v>
      </c>
      <c r="E487" t="s">
        <v>751</v>
      </c>
    </row>
    <row r="488" spans="1:5" x14ac:dyDescent="0.25">
      <c r="A488" t="s">
        <v>192</v>
      </c>
      <c r="B488">
        <f>COUNTIF(PitRawData!$1:$1,DO_NOT_EDIT!A488)</f>
        <v>0</v>
      </c>
      <c r="C488" t="e">
        <f>MATCH(A488,PitRawData!$A$1:$AMK$1,0)</f>
        <v>#N/A</v>
      </c>
      <c r="D488" t="e">
        <f>INDEX(PitRawData!$A$1:$AMK$3,3,MATCH(DO_NOT_EDIT!A488,PitRawData!$A$1:$AMK$1,0))</f>
        <v>#N/A</v>
      </c>
      <c r="E488" t="s">
        <v>751</v>
      </c>
    </row>
    <row r="489" spans="1:5" x14ac:dyDescent="0.25">
      <c r="A489" t="s">
        <v>174</v>
      </c>
      <c r="B489">
        <f>COUNTIF(PitRawData!$1:$1,DO_NOT_EDIT!A489)</f>
        <v>0</v>
      </c>
      <c r="C489" t="e">
        <f>MATCH(A489,PitRawData!$A$1:$AMK$1,0)</f>
        <v>#N/A</v>
      </c>
      <c r="D489" t="e">
        <f>INDEX(PitRawData!$A$1:$AMK$3,3,MATCH(DO_NOT_EDIT!A489,PitRawData!$A$1:$AMK$1,0))</f>
        <v>#N/A</v>
      </c>
      <c r="E489" t="s">
        <v>751</v>
      </c>
    </row>
    <row r="490" spans="1:5" x14ac:dyDescent="0.25">
      <c r="A490" t="s">
        <v>155</v>
      </c>
      <c r="B490">
        <f>COUNTIF(PitRawData!$1:$1,DO_NOT_EDIT!A490)</f>
        <v>0</v>
      </c>
      <c r="C490" t="e">
        <f>MATCH(A490,PitRawData!$A$1:$AMK$1,0)</f>
        <v>#N/A</v>
      </c>
      <c r="D490" t="e">
        <f>INDEX(PitRawData!$A$1:$AMK$3,3,MATCH(DO_NOT_EDIT!A490,PitRawData!$A$1:$AMK$1,0))</f>
        <v>#N/A</v>
      </c>
      <c r="E490" t="s">
        <v>751</v>
      </c>
    </row>
    <row r="491" spans="1:5" x14ac:dyDescent="0.25">
      <c r="A491" t="s">
        <v>208</v>
      </c>
      <c r="B491">
        <f>COUNTIF(PitRawData!$1:$1,DO_NOT_EDIT!A491)</f>
        <v>0</v>
      </c>
      <c r="C491" t="e">
        <f>MATCH(A491,PitRawData!$A$1:$AMK$1,0)</f>
        <v>#N/A</v>
      </c>
      <c r="D491" t="e">
        <f>INDEX(PitRawData!$A$1:$AMK$3,3,MATCH(DO_NOT_EDIT!A491,PitRawData!$A$1:$AMK$1,0))</f>
        <v>#N/A</v>
      </c>
      <c r="E491" t="s">
        <v>751</v>
      </c>
    </row>
    <row r="492" spans="1:5" x14ac:dyDescent="0.25">
      <c r="A492" t="s">
        <v>189</v>
      </c>
      <c r="B492">
        <f>COUNTIF(PitRawData!$1:$1,DO_NOT_EDIT!A492)</f>
        <v>0</v>
      </c>
      <c r="C492" t="e">
        <f>MATCH(A492,PitRawData!$A$1:$AMK$1,0)</f>
        <v>#N/A</v>
      </c>
      <c r="D492" t="e">
        <f>INDEX(PitRawData!$A$1:$AMK$3,3,MATCH(DO_NOT_EDIT!A492,PitRawData!$A$1:$AMK$1,0))</f>
        <v>#N/A</v>
      </c>
      <c r="E492" t="s">
        <v>751</v>
      </c>
    </row>
    <row r="493" spans="1:5" x14ac:dyDescent="0.25">
      <c r="A493" t="s">
        <v>171</v>
      </c>
      <c r="B493">
        <f>COUNTIF(PitRawData!$1:$1,DO_NOT_EDIT!A493)</f>
        <v>0</v>
      </c>
      <c r="C493" t="e">
        <f>MATCH(A493,PitRawData!$A$1:$AMK$1,0)</f>
        <v>#N/A</v>
      </c>
      <c r="D493" t="e">
        <f>INDEX(PitRawData!$A$1:$AMK$3,3,MATCH(DO_NOT_EDIT!A493,PitRawData!$A$1:$AMK$1,0))</f>
        <v>#N/A</v>
      </c>
      <c r="E493" t="s">
        <v>751</v>
      </c>
    </row>
    <row r="494" spans="1:5" x14ac:dyDescent="0.25">
      <c r="A494" t="s">
        <v>152</v>
      </c>
      <c r="B494">
        <f>COUNTIF(PitRawData!$1:$1,DO_NOT_EDIT!A494)</f>
        <v>0</v>
      </c>
      <c r="C494" t="e">
        <f>MATCH(A494,PitRawData!$A$1:$AMK$1,0)</f>
        <v>#N/A</v>
      </c>
      <c r="D494" t="e">
        <f>INDEX(PitRawData!$A$1:$AMK$3,3,MATCH(DO_NOT_EDIT!A494,PitRawData!$A$1:$AMK$1,0))</f>
        <v>#N/A</v>
      </c>
      <c r="E494" t="s">
        <v>751</v>
      </c>
    </row>
    <row r="495" spans="1:5" x14ac:dyDescent="0.25">
      <c r="A495" t="s">
        <v>209</v>
      </c>
      <c r="B495">
        <f>COUNTIF(PitRawData!$1:$1,DO_NOT_EDIT!A495)</f>
        <v>0</v>
      </c>
      <c r="C495" t="e">
        <f>MATCH(A495,PitRawData!$A$1:$AMK$1,0)</f>
        <v>#N/A</v>
      </c>
      <c r="D495" t="e">
        <f>INDEX(PitRawData!$A$1:$AMK$3,3,MATCH(DO_NOT_EDIT!A495,PitRawData!$A$1:$AMK$1,0))</f>
        <v>#N/A</v>
      </c>
      <c r="E495" t="s">
        <v>751</v>
      </c>
    </row>
    <row r="496" spans="1:5" x14ac:dyDescent="0.25">
      <c r="A496" t="s">
        <v>190</v>
      </c>
      <c r="B496">
        <f>COUNTIF(PitRawData!$1:$1,DO_NOT_EDIT!A496)</f>
        <v>0</v>
      </c>
      <c r="C496" t="e">
        <f>MATCH(A496,PitRawData!$A$1:$AMK$1,0)</f>
        <v>#N/A</v>
      </c>
      <c r="D496" t="e">
        <f>INDEX(PitRawData!$A$1:$AMK$3,3,MATCH(DO_NOT_EDIT!A496,PitRawData!$A$1:$AMK$1,0))</f>
        <v>#N/A</v>
      </c>
      <c r="E496" t="s">
        <v>751</v>
      </c>
    </row>
    <row r="497" spans="1:5" x14ac:dyDescent="0.25">
      <c r="A497" t="s">
        <v>172</v>
      </c>
      <c r="B497">
        <f>COUNTIF(PitRawData!$1:$1,DO_NOT_EDIT!A497)</f>
        <v>0</v>
      </c>
      <c r="C497" t="e">
        <f>MATCH(A497,PitRawData!$A$1:$AMK$1,0)</f>
        <v>#N/A</v>
      </c>
      <c r="D497" t="e">
        <f>INDEX(PitRawData!$A$1:$AMK$3,3,MATCH(DO_NOT_EDIT!A497,PitRawData!$A$1:$AMK$1,0))</f>
        <v>#N/A</v>
      </c>
      <c r="E497" t="s">
        <v>751</v>
      </c>
    </row>
    <row r="498" spans="1:5" x14ac:dyDescent="0.25">
      <c r="A498" t="s">
        <v>153</v>
      </c>
      <c r="B498">
        <f>COUNTIF(PitRawData!$1:$1,DO_NOT_EDIT!A498)</f>
        <v>0</v>
      </c>
      <c r="C498" t="e">
        <f>MATCH(A498,PitRawData!$A$1:$AMK$1,0)</f>
        <v>#N/A</v>
      </c>
      <c r="D498" t="e">
        <f>INDEX(PitRawData!$A$1:$AMK$3,3,MATCH(DO_NOT_EDIT!A498,PitRawData!$A$1:$AMK$1,0))</f>
        <v>#N/A</v>
      </c>
      <c r="E498" t="s">
        <v>751</v>
      </c>
    </row>
    <row r="499" spans="1:5" x14ac:dyDescent="0.25">
      <c r="A499" t="s">
        <v>214</v>
      </c>
      <c r="B499">
        <f>COUNTIF(PitRawData!$1:$1,DO_NOT_EDIT!A499)</f>
        <v>0</v>
      </c>
      <c r="C499" t="e">
        <f>MATCH(A499,PitRawData!$A$1:$AMK$1,0)</f>
        <v>#N/A</v>
      </c>
      <c r="D499" t="e">
        <f>INDEX(PitRawData!$A$1:$AMK$3,3,MATCH(DO_NOT_EDIT!A499,PitRawData!$A$1:$AMK$1,0))</f>
        <v>#N/A</v>
      </c>
      <c r="E499" t="s">
        <v>751</v>
      </c>
    </row>
    <row r="500" spans="1:5" x14ac:dyDescent="0.25">
      <c r="A500" t="s">
        <v>195</v>
      </c>
      <c r="B500">
        <f>COUNTIF(PitRawData!$1:$1,DO_NOT_EDIT!A500)</f>
        <v>0</v>
      </c>
      <c r="C500" t="e">
        <f>MATCH(A500,PitRawData!$A$1:$AMK$1,0)</f>
        <v>#N/A</v>
      </c>
      <c r="D500" t="e">
        <f>INDEX(PitRawData!$A$1:$AMK$3,3,MATCH(DO_NOT_EDIT!A500,PitRawData!$A$1:$AMK$1,0))</f>
        <v>#N/A</v>
      </c>
      <c r="E500" t="s">
        <v>751</v>
      </c>
    </row>
    <row r="501" spans="1:5" x14ac:dyDescent="0.25">
      <c r="A501" t="s">
        <v>177</v>
      </c>
      <c r="B501">
        <f>COUNTIF(PitRawData!$1:$1,DO_NOT_EDIT!A501)</f>
        <v>0</v>
      </c>
      <c r="C501" t="e">
        <f>MATCH(A501,PitRawData!$A$1:$AMK$1,0)</f>
        <v>#N/A</v>
      </c>
      <c r="D501" t="e">
        <f>INDEX(PitRawData!$A$1:$AMK$3,3,MATCH(DO_NOT_EDIT!A501,PitRawData!$A$1:$AMK$1,0))</f>
        <v>#N/A</v>
      </c>
      <c r="E501" t="s">
        <v>751</v>
      </c>
    </row>
    <row r="502" spans="1:5" x14ac:dyDescent="0.25">
      <c r="A502" t="s">
        <v>158</v>
      </c>
      <c r="B502">
        <f>COUNTIF(PitRawData!$1:$1,DO_NOT_EDIT!A502)</f>
        <v>0</v>
      </c>
      <c r="C502" t="e">
        <f>MATCH(A502,PitRawData!$A$1:$AMK$1,0)</f>
        <v>#N/A</v>
      </c>
      <c r="D502" t="e">
        <f>INDEX(PitRawData!$A$1:$AMK$3,3,MATCH(DO_NOT_EDIT!A502,PitRawData!$A$1:$AMK$1,0))</f>
        <v>#N/A</v>
      </c>
      <c r="E502" t="s">
        <v>751</v>
      </c>
    </row>
    <row r="503" spans="1:5" x14ac:dyDescent="0.25">
      <c r="A503" t="s">
        <v>206</v>
      </c>
      <c r="B503">
        <f>COUNTIF(PitRawData!$1:$1,DO_NOT_EDIT!A503)</f>
        <v>0</v>
      </c>
      <c r="C503" t="e">
        <f>MATCH(A503,PitRawData!$A$1:$AMK$1,0)</f>
        <v>#N/A</v>
      </c>
      <c r="D503" t="e">
        <f>INDEX(PitRawData!$A$1:$AMK$3,3,MATCH(DO_NOT_EDIT!A503,PitRawData!$A$1:$AMK$1,0))</f>
        <v>#N/A</v>
      </c>
      <c r="E503" t="s">
        <v>751</v>
      </c>
    </row>
    <row r="504" spans="1:5" x14ac:dyDescent="0.25">
      <c r="A504" t="s">
        <v>187</v>
      </c>
      <c r="B504">
        <f>COUNTIF(PitRawData!$1:$1,DO_NOT_EDIT!A504)</f>
        <v>0</v>
      </c>
      <c r="C504" t="e">
        <f>MATCH(A504,PitRawData!$A$1:$AMK$1,0)</f>
        <v>#N/A</v>
      </c>
      <c r="D504" t="e">
        <f>INDEX(PitRawData!$A$1:$AMK$3,3,MATCH(DO_NOT_EDIT!A504,PitRawData!$A$1:$AMK$1,0))</f>
        <v>#N/A</v>
      </c>
      <c r="E504" t="s">
        <v>751</v>
      </c>
    </row>
    <row r="505" spans="1:5" x14ac:dyDescent="0.25">
      <c r="A505" t="s">
        <v>169</v>
      </c>
      <c r="B505">
        <f>COUNTIF(PitRawData!$1:$1,DO_NOT_EDIT!A505)</f>
        <v>0</v>
      </c>
      <c r="C505" t="e">
        <f>MATCH(A505,PitRawData!$A$1:$AMK$1,0)</f>
        <v>#N/A</v>
      </c>
      <c r="D505" t="e">
        <f>INDEX(PitRawData!$A$1:$AMK$3,3,MATCH(DO_NOT_EDIT!A505,PitRawData!$A$1:$AMK$1,0))</f>
        <v>#N/A</v>
      </c>
      <c r="E505" t="s">
        <v>751</v>
      </c>
    </row>
    <row r="506" spans="1:5" x14ac:dyDescent="0.25">
      <c r="A506" t="s">
        <v>150</v>
      </c>
      <c r="B506">
        <f>COUNTIF(PitRawData!$1:$1,DO_NOT_EDIT!A506)</f>
        <v>0</v>
      </c>
      <c r="C506" t="e">
        <f>MATCH(A506,PitRawData!$A$1:$AMK$1,0)</f>
        <v>#N/A</v>
      </c>
      <c r="D506" t="e">
        <f>INDEX(PitRawData!$A$1:$AMK$3,3,MATCH(DO_NOT_EDIT!A506,PitRawData!$A$1:$AMK$1,0))</f>
        <v>#N/A</v>
      </c>
      <c r="E506" t="s">
        <v>751</v>
      </c>
    </row>
    <row r="507" spans="1:5" x14ac:dyDescent="0.25">
      <c r="A507" t="s">
        <v>207</v>
      </c>
      <c r="B507">
        <f>COUNTIF(PitRawData!$1:$1,DO_NOT_EDIT!A507)</f>
        <v>0</v>
      </c>
      <c r="C507" t="e">
        <f>MATCH(A507,PitRawData!$A$1:$AMK$1,0)</f>
        <v>#N/A</v>
      </c>
      <c r="D507" t="e">
        <f>INDEX(PitRawData!$A$1:$AMK$3,3,MATCH(DO_NOT_EDIT!A507,PitRawData!$A$1:$AMK$1,0))</f>
        <v>#N/A</v>
      </c>
      <c r="E507" t="s">
        <v>751</v>
      </c>
    </row>
    <row r="508" spans="1:5" x14ac:dyDescent="0.25">
      <c r="A508" t="s">
        <v>188</v>
      </c>
      <c r="B508">
        <f>COUNTIF(PitRawData!$1:$1,DO_NOT_EDIT!A508)</f>
        <v>0</v>
      </c>
      <c r="C508" t="e">
        <f>MATCH(A508,PitRawData!$A$1:$AMK$1,0)</f>
        <v>#N/A</v>
      </c>
      <c r="D508" t="e">
        <f>INDEX(PitRawData!$A$1:$AMK$3,3,MATCH(DO_NOT_EDIT!A508,PitRawData!$A$1:$AMK$1,0))</f>
        <v>#N/A</v>
      </c>
      <c r="E508" t="s">
        <v>751</v>
      </c>
    </row>
    <row r="509" spans="1:5" x14ac:dyDescent="0.25">
      <c r="A509" t="s">
        <v>170</v>
      </c>
      <c r="B509">
        <f>COUNTIF(PitRawData!$1:$1,DO_NOT_EDIT!A509)</f>
        <v>0</v>
      </c>
      <c r="C509" t="e">
        <f>MATCH(A509,PitRawData!$A$1:$AMK$1,0)</f>
        <v>#N/A</v>
      </c>
      <c r="D509" t="e">
        <f>INDEX(PitRawData!$A$1:$AMK$3,3,MATCH(DO_NOT_EDIT!A509,PitRawData!$A$1:$AMK$1,0))</f>
        <v>#N/A</v>
      </c>
      <c r="E509" t="s">
        <v>751</v>
      </c>
    </row>
    <row r="510" spans="1:5" x14ac:dyDescent="0.25">
      <c r="A510" t="s">
        <v>151</v>
      </c>
      <c r="B510">
        <f>COUNTIF(PitRawData!$1:$1,DO_NOT_EDIT!A510)</f>
        <v>0</v>
      </c>
      <c r="C510" t="e">
        <f>MATCH(A510,PitRawData!$A$1:$AMK$1,0)</f>
        <v>#N/A</v>
      </c>
      <c r="D510" t="e">
        <f>INDEX(PitRawData!$A$1:$AMK$3,3,MATCH(DO_NOT_EDIT!A510,PitRawData!$A$1:$AMK$1,0))</f>
        <v>#N/A</v>
      </c>
      <c r="E510" t="s">
        <v>751</v>
      </c>
    </row>
    <row r="511" spans="1:5" x14ac:dyDescent="0.25">
      <c r="A511" t="s">
        <v>202</v>
      </c>
      <c r="B511">
        <f>COUNTIF(PitRawData!$1:$1,DO_NOT_EDIT!A511)</f>
        <v>0</v>
      </c>
      <c r="C511" t="e">
        <f>MATCH(A511,PitRawData!$A$1:$AMK$1,0)</f>
        <v>#N/A</v>
      </c>
      <c r="D511" t="e">
        <f>INDEX(PitRawData!$A$1:$AMK$3,3,MATCH(DO_NOT_EDIT!A511,PitRawData!$A$1:$AMK$1,0))</f>
        <v>#N/A</v>
      </c>
      <c r="E511" t="s">
        <v>751</v>
      </c>
    </row>
    <row r="512" spans="1:5" x14ac:dyDescent="0.25">
      <c r="A512" t="s">
        <v>183</v>
      </c>
      <c r="B512">
        <f>COUNTIF(PitRawData!$1:$1,DO_NOT_EDIT!A512)</f>
        <v>0</v>
      </c>
      <c r="C512" t="e">
        <f>MATCH(A512,PitRawData!$A$1:$AMK$1,0)</f>
        <v>#N/A</v>
      </c>
      <c r="D512" t="e">
        <f>INDEX(PitRawData!$A$1:$AMK$3,3,MATCH(DO_NOT_EDIT!A512,PitRawData!$A$1:$AMK$1,0))</f>
        <v>#N/A</v>
      </c>
      <c r="E512" t="s">
        <v>751</v>
      </c>
    </row>
    <row r="513" spans="1:5" x14ac:dyDescent="0.25">
      <c r="A513" t="s">
        <v>165</v>
      </c>
      <c r="B513">
        <f>COUNTIF(PitRawData!$1:$1,DO_NOT_EDIT!A513)</f>
        <v>0</v>
      </c>
      <c r="C513" t="e">
        <f>MATCH(A513,PitRawData!$A$1:$AMK$1,0)</f>
        <v>#N/A</v>
      </c>
      <c r="D513" t="e">
        <f>INDEX(PitRawData!$A$1:$AMK$3,3,MATCH(DO_NOT_EDIT!A513,PitRawData!$A$1:$AMK$1,0))</f>
        <v>#N/A</v>
      </c>
      <c r="E513" t="s">
        <v>751</v>
      </c>
    </row>
    <row r="514" spans="1:5" x14ac:dyDescent="0.25">
      <c r="A514" t="s">
        <v>146</v>
      </c>
      <c r="B514">
        <f>COUNTIF(PitRawData!$1:$1,DO_NOT_EDIT!A514)</f>
        <v>0</v>
      </c>
      <c r="C514" t="e">
        <f>MATCH(A514,PitRawData!$A$1:$AMK$1,0)</f>
        <v>#N/A</v>
      </c>
      <c r="D514" t="e">
        <f>INDEX(PitRawData!$A$1:$AMK$3,3,MATCH(DO_NOT_EDIT!A514,PitRawData!$A$1:$AMK$1,0))</f>
        <v>#N/A</v>
      </c>
      <c r="E514" t="s">
        <v>751</v>
      </c>
    </row>
    <row r="515" spans="1:5" x14ac:dyDescent="0.25">
      <c r="A515" t="s">
        <v>203</v>
      </c>
      <c r="B515">
        <f>COUNTIF(PitRawData!$1:$1,DO_NOT_EDIT!A515)</f>
        <v>0</v>
      </c>
      <c r="C515" t="e">
        <f>MATCH(A515,PitRawData!$A$1:$AMK$1,0)</f>
        <v>#N/A</v>
      </c>
      <c r="D515" t="e">
        <f>INDEX(PitRawData!$A$1:$AMK$3,3,MATCH(DO_NOT_EDIT!A515,PitRawData!$A$1:$AMK$1,0))</f>
        <v>#N/A</v>
      </c>
      <c r="E515" t="s">
        <v>751</v>
      </c>
    </row>
    <row r="516" spans="1:5" x14ac:dyDescent="0.25">
      <c r="A516" t="s">
        <v>184</v>
      </c>
      <c r="B516">
        <f>COUNTIF(PitRawData!$1:$1,DO_NOT_EDIT!A516)</f>
        <v>0</v>
      </c>
      <c r="C516" t="e">
        <f>MATCH(A516,PitRawData!$A$1:$AMK$1,0)</f>
        <v>#N/A</v>
      </c>
      <c r="D516" t="e">
        <f>INDEX(PitRawData!$A$1:$AMK$3,3,MATCH(DO_NOT_EDIT!A516,PitRawData!$A$1:$AMK$1,0))</f>
        <v>#N/A</v>
      </c>
      <c r="E516" t="s">
        <v>751</v>
      </c>
    </row>
    <row r="517" spans="1:5" x14ac:dyDescent="0.25">
      <c r="A517" t="s">
        <v>166</v>
      </c>
      <c r="B517">
        <f>COUNTIF(PitRawData!$1:$1,DO_NOT_EDIT!A517)</f>
        <v>0</v>
      </c>
      <c r="C517" t="e">
        <f>MATCH(A517,PitRawData!$A$1:$AMK$1,0)</f>
        <v>#N/A</v>
      </c>
      <c r="D517" t="e">
        <f>INDEX(PitRawData!$A$1:$AMK$3,3,MATCH(DO_NOT_EDIT!A517,PitRawData!$A$1:$AMK$1,0))</f>
        <v>#N/A</v>
      </c>
      <c r="E517" t="s">
        <v>751</v>
      </c>
    </row>
    <row r="518" spans="1:5" x14ac:dyDescent="0.25">
      <c r="A518" t="s">
        <v>147</v>
      </c>
      <c r="B518">
        <f>COUNTIF(PitRawData!$1:$1,DO_NOT_EDIT!A518)</f>
        <v>0</v>
      </c>
      <c r="C518" t="e">
        <f>MATCH(A518,PitRawData!$A$1:$AMK$1,0)</f>
        <v>#N/A</v>
      </c>
      <c r="D518" t="e">
        <f>INDEX(PitRawData!$A$1:$AMK$3,3,MATCH(DO_NOT_EDIT!A518,PitRawData!$A$1:$AMK$1,0))</f>
        <v>#N/A</v>
      </c>
      <c r="E518" t="s">
        <v>751</v>
      </c>
    </row>
    <row r="519" spans="1:5" x14ac:dyDescent="0.25">
      <c r="A519" t="s">
        <v>200</v>
      </c>
      <c r="B519">
        <f>COUNTIF(PitRawData!$1:$1,DO_NOT_EDIT!A519)</f>
        <v>0</v>
      </c>
      <c r="C519" t="e">
        <f>MATCH(A519,PitRawData!$A$1:$AMK$1,0)</f>
        <v>#N/A</v>
      </c>
      <c r="D519" t="e">
        <f>INDEX(PitRawData!$A$1:$AMK$3,3,MATCH(DO_NOT_EDIT!A519,PitRawData!$A$1:$AMK$1,0))</f>
        <v>#N/A</v>
      </c>
      <c r="E519" t="s">
        <v>751</v>
      </c>
    </row>
    <row r="520" spans="1:5" x14ac:dyDescent="0.25">
      <c r="A520" t="s">
        <v>181</v>
      </c>
      <c r="B520">
        <f>COUNTIF(PitRawData!$1:$1,DO_NOT_EDIT!A520)</f>
        <v>0</v>
      </c>
      <c r="C520" t="e">
        <f>MATCH(A520,PitRawData!$A$1:$AMK$1,0)</f>
        <v>#N/A</v>
      </c>
      <c r="D520" t="e">
        <f>INDEX(PitRawData!$A$1:$AMK$3,3,MATCH(DO_NOT_EDIT!A520,PitRawData!$A$1:$AMK$1,0))</f>
        <v>#N/A</v>
      </c>
      <c r="E520" t="s">
        <v>751</v>
      </c>
    </row>
    <row r="521" spans="1:5" x14ac:dyDescent="0.25">
      <c r="A521" t="s">
        <v>163</v>
      </c>
      <c r="B521">
        <f>COUNTIF(PitRawData!$1:$1,DO_NOT_EDIT!A521)</f>
        <v>0</v>
      </c>
      <c r="C521" t="e">
        <f>MATCH(A521,PitRawData!$A$1:$AMK$1,0)</f>
        <v>#N/A</v>
      </c>
      <c r="D521" t="e">
        <f>INDEX(PitRawData!$A$1:$AMK$3,3,MATCH(DO_NOT_EDIT!A521,PitRawData!$A$1:$AMK$1,0))</f>
        <v>#N/A</v>
      </c>
      <c r="E521" t="s">
        <v>751</v>
      </c>
    </row>
    <row r="522" spans="1:5" x14ac:dyDescent="0.25">
      <c r="A522" t="s">
        <v>144</v>
      </c>
      <c r="B522">
        <f>COUNTIF(PitRawData!$1:$1,DO_NOT_EDIT!A522)</f>
        <v>0</v>
      </c>
      <c r="C522" t="e">
        <f>MATCH(A522,PitRawData!$A$1:$AMK$1,0)</f>
        <v>#N/A</v>
      </c>
      <c r="D522" t="e">
        <f>INDEX(PitRawData!$A$1:$AMK$3,3,MATCH(DO_NOT_EDIT!A522,PitRawData!$A$1:$AMK$1,0))</f>
        <v>#N/A</v>
      </c>
      <c r="E522" t="s">
        <v>751</v>
      </c>
    </row>
    <row r="523" spans="1:5" x14ac:dyDescent="0.25">
      <c r="A523" t="s">
        <v>201</v>
      </c>
      <c r="B523">
        <f>COUNTIF(PitRawData!$1:$1,DO_NOT_EDIT!A523)</f>
        <v>0</v>
      </c>
      <c r="C523" t="e">
        <f>MATCH(A523,PitRawData!$A$1:$AMK$1,0)</f>
        <v>#N/A</v>
      </c>
      <c r="D523" t="e">
        <f>INDEX(PitRawData!$A$1:$AMK$3,3,MATCH(DO_NOT_EDIT!A523,PitRawData!$A$1:$AMK$1,0))</f>
        <v>#N/A</v>
      </c>
      <c r="E523" t="s">
        <v>751</v>
      </c>
    </row>
    <row r="524" spans="1:5" x14ac:dyDescent="0.25">
      <c r="A524" t="s">
        <v>182</v>
      </c>
      <c r="B524">
        <f>COUNTIF(PitRawData!$1:$1,DO_NOT_EDIT!A524)</f>
        <v>0</v>
      </c>
      <c r="C524" t="e">
        <f>MATCH(A524,PitRawData!$A$1:$AMK$1,0)</f>
        <v>#N/A</v>
      </c>
      <c r="D524" t="e">
        <f>INDEX(PitRawData!$A$1:$AMK$3,3,MATCH(DO_NOT_EDIT!A524,PitRawData!$A$1:$AMK$1,0))</f>
        <v>#N/A</v>
      </c>
      <c r="E524" t="s">
        <v>751</v>
      </c>
    </row>
    <row r="525" spans="1:5" x14ac:dyDescent="0.25">
      <c r="A525" t="s">
        <v>164</v>
      </c>
      <c r="B525">
        <f>COUNTIF(PitRawData!$1:$1,DO_NOT_EDIT!A525)</f>
        <v>0</v>
      </c>
      <c r="C525" t="e">
        <f>MATCH(A525,PitRawData!$A$1:$AMK$1,0)</f>
        <v>#N/A</v>
      </c>
      <c r="D525" t="e">
        <f>INDEX(PitRawData!$A$1:$AMK$3,3,MATCH(DO_NOT_EDIT!A525,PitRawData!$A$1:$AMK$1,0))</f>
        <v>#N/A</v>
      </c>
      <c r="E525" t="s">
        <v>751</v>
      </c>
    </row>
    <row r="526" spans="1:5" x14ac:dyDescent="0.25">
      <c r="A526" t="s">
        <v>145</v>
      </c>
      <c r="B526">
        <f>COUNTIF(PitRawData!$1:$1,DO_NOT_EDIT!A526)</f>
        <v>0</v>
      </c>
      <c r="C526" t="e">
        <f>MATCH(A526,PitRawData!$A$1:$AMK$1,0)</f>
        <v>#N/A</v>
      </c>
      <c r="D526" t="e">
        <f>INDEX(PitRawData!$A$1:$AMK$3,3,MATCH(DO_NOT_EDIT!A526,PitRawData!$A$1:$AMK$1,0))</f>
        <v>#N/A</v>
      </c>
      <c r="E526" t="s">
        <v>751</v>
      </c>
    </row>
    <row r="527" spans="1:5" x14ac:dyDescent="0.25">
      <c r="A527" t="s">
        <v>205</v>
      </c>
      <c r="B527">
        <f>COUNTIF(PitRawData!$1:$1,DO_NOT_EDIT!A527)</f>
        <v>0</v>
      </c>
      <c r="C527" t="e">
        <f>MATCH(A527,PitRawData!$A$1:$AMK$1,0)</f>
        <v>#N/A</v>
      </c>
      <c r="D527" t="e">
        <f>INDEX(PitRawData!$A$1:$AMK$3,3,MATCH(DO_NOT_EDIT!A527,PitRawData!$A$1:$AMK$1,0))</f>
        <v>#N/A</v>
      </c>
      <c r="E527" t="s">
        <v>751</v>
      </c>
    </row>
    <row r="528" spans="1:5" x14ac:dyDescent="0.25">
      <c r="A528" t="s">
        <v>186</v>
      </c>
      <c r="B528">
        <f>COUNTIF(PitRawData!$1:$1,DO_NOT_EDIT!A528)</f>
        <v>0</v>
      </c>
      <c r="C528" t="e">
        <f>MATCH(A528,PitRawData!$A$1:$AMK$1,0)</f>
        <v>#N/A</v>
      </c>
      <c r="D528" t="e">
        <f>INDEX(PitRawData!$A$1:$AMK$3,3,MATCH(DO_NOT_EDIT!A528,PitRawData!$A$1:$AMK$1,0))</f>
        <v>#N/A</v>
      </c>
      <c r="E528" t="s">
        <v>751</v>
      </c>
    </row>
    <row r="529" spans="1:5" x14ac:dyDescent="0.25">
      <c r="A529" t="s">
        <v>168</v>
      </c>
      <c r="B529">
        <f>COUNTIF(PitRawData!$1:$1,DO_NOT_EDIT!A529)</f>
        <v>0</v>
      </c>
      <c r="C529" t="e">
        <f>MATCH(A529,PitRawData!$A$1:$AMK$1,0)</f>
        <v>#N/A</v>
      </c>
      <c r="D529" t="e">
        <f>INDEX(PitRawData!$A$1:$AMK$3,3,MATCH(DO_NOT_EDIT!A529,PitRawData!$A$1:$AMK$1,0))</f>
        <v>#N/A</v>
      </c>
      <c r="E529" t="s">
        <v>751</v>
      </c>
    </row>
    <row r="530" spans="1:5" x14ac:dyDescent="0.25">
      <c r="A530" t="s">
        <v>149</v>
      </c>
      <c r="B530">
        <f>COUNTIF(PitRawData!$1:$1,DO_NOT_EDIT!A530)</f>
        <v>0</v>
      </c>
      <c r="C530" t="e">
        <f>MATCH(A530,PitRawData!$A$1:$AMK$1,0)</f>
        <v>#N/A</v>
      </c>
      <c r="D530" t="e">
        <f>INDEX(PitRawData!$A$1:$AMK$3,3,MATCH(DO_NOT_EDIT!A530,PitRawData!$A$1:$AMK$1,0))</f>
        <v>#N/A</v>
      </c>
      <c r="E530" t="s">
        <v>751</v>
      </c>
    </row>
    <row r="531" spans="1:5" x14ac:dyDescent="0.25">
      <c r="A531" t="s">
        <v>204</v>
      </c>
      <c r="B531">
        <f>COUNTIF(PitRawData!$1:$1,DO_NOT_EDIT!A531)</f>
        <v>0</v>
      </c>
      <c r="C531" t="e">
        <f>MATCH(A531,PitRawData!$A$1:$AMK$1,0)</f>
        <v>#N/A</v>
      </c>
      <c r="D531" t="e">
        <f>INDEX(PitRawData!$A$1:$AMK$3,3,MATCH(DO_NOT_EDIT!A531,PitRawData!$A$1:$AMK$1,0))</f>
        <v>#N/A</v>
      </c>
      <c r="E531" t="s">
        <v>751</v>
      </c>
    </row>
    <row r="532" spans="1:5" x14ac:dyDescent="0.25">
      <c r="A532" t="s">
        <v>185</v>
      </c>
      <c r="B532">
        <f>COUNTIF(PitRawData!$1:$1,DO_NOT_EDIT!A532)</f>
        <v>0</v>
      </c>
      <c r="C532" t="e">
        <f>MATCH(A532,PitRawData!$A$1:$AMK$1,0)</f>
        <v>#N/A</v>
      </c>
      <c r="D532" t="e">
        <f>INDEX(PitRawData!$A$1:$AMK$3,3,MATCH(DO_NOT_EDIT!A532,PitRawData!$A$1:$AMK$1,0))</f>
        <v>#N/A</v>
      </c>
      <c r="E532" t="s">
        <v>751</v>
      </c>
    </row>
    <row r="533" spans="1:5" x14ac:dyDescent="0.25">
      <c r="A533" t="s">
        <v>167</v>
      </c>
      <c r="B533">
        <f>COUNTIF(PitRawData!$1:$1,DO_NOT_EDIT!A533)</f>
        <v>0</v>
      </c>
      <c r="C533" t="e">
        <f>MATCH(A533,PitRawData!$A$1:$AMK$1,0)</f>
        <v>#N/A</v>
      </c>
      <c r="D533" t="e">
        <f>INDEX(PitRawData!$A$1:$AMK$3,3,MATCH(DO_NOT_EDIT!A533,PitRawData!$A$1:$AMK$1,0))</f>
        <v>#N/A</v>
      </c>
      <c r="E533" t="s">
        <v>751</v>
      </c>
    </row>
    <row r="534" spans="1:5" x14ac:dyDescent="0.25">
      <c r="A534" t="s">
        <v>148</v>
      </c>
      <c r="B534">
        <f>COUNTIF(PitRawData!$1:$1,DO_NOT_EDIT!A534)</f>
        <v>0</v>
      </c>
      <c r="C534" t="e">
        <f>MATCH(A534,PitRawData!$A$1:$AMK$1,0)</f>
        <v>#N/A</v>
      </c>
      <c r="D534" t="e">
        <f>INDEX(PitRawData!$A$1:$AMK$3,3,MATCH(DO_NOT_EDIT!A534,PitRawData!$A$1:$AMK$1,0))</f>
        <v>#N/A</v>
      </c>
      <c r="E534" t="s">
        <v>751</v>
      </c>
    </row>
    <row r="535" spans="1:5" x14ac:dyDescent="0.25">
      <c r="A535" t="s">
        <v>199</v>
      </c>
      <c r="B535">
        <f>COUNTIF(PitRawData!$1:$1,DO_NOT_EDIT!A535)</f>
        <v>0</v>
      </c>
      <c r="C535" t="e">
        <f>MATCH(A535,PitRawData!$A$1:$AMK$1,0)</f>
        <v>#N/A</v>
      </c>
      <c r="D535" t="e">
        <f>INDEX(PitRawData!$A$1:$AMK$3,3,MATCH(DO_NOT_EDIT!A535,PitRawData!$A$1:$AMK$1,0))</f>
        <v>#N/A</v>
      </c>
      <c r="E535" t="s">
        <v>751</v>
      </c>
    </row>
    <row r="536" spans="1:5" x14ac:dyDescent="0.25">
      <c r="A536" t="s">
        <v>162</v>
      </c>
      <c r="B536">
        <f>COUNTIF(PitRawData!$1:$1,DO_NOT_EDIT!A536)</f>
        <v>0</v>
      </c>
      <c r="C536" t="e">
        <f>MATCH(A536,PitRawData!$A$1:$AMK$1,0)</f>
        <v>#N/A</v>
      </c>
      <c r="D536" t="e">
        <f>INDEX(PitRawData!$A$1:$AMK$3,3,MATCH(DO_NOT_EDIT!A536,PitRawData!$A$1:$AMK$1,0))</f>
        <v>#N/A</v>
      </c>
      <c r="E536" t="s">
        <v>751</v>
      </c>
    </row>
    <row r="537" spans="1:5" x14ac:dyDescent="0.25">
      <c r="A537" t="s">
        <v>143</v>
      </c>
      <c r="B537">
        <f>COUNTIF(PitRawData!$1:$1,DO_NOT_EDIT!A537)</f>
        <v>0</v>
      </c>
      <c r="C537" t="e">
        <f>MATCH(A537,PitRawData!$A$1:$AMK$1,0)</f>
        <v>#N/A</v>
      </c>
      <c r="D537" t="e">
        <f>INDEX(PitRawData!$A$1:$AMK$3,3,MATCH(DO_NOT_EDIT!A537,PitRawData!$A$1:$AMK$1,0))</f>
        <v>#N/A</v>
      </c>
      <c r="E537" t="s">
        <v>751</v>
      </c>
    </row>
    <row r="538" spans="1:5" x14ac:dyDescent="0.25">
      <c r="A538" t="s">
        <v>434</v>
      </c>
      <c r="B538">
        <f>COUNTIF(PitRawData!$1:$1,DO_NOT_EDIT!A538)</f>
        <v>0</v>
      </c>
      <c r="C538" t="e">
        <f>MATCH(A538,PitRawData!$A$1:$AMK$1,0)</f>
        <v>#N/A</v>
      </c>
      <c r="D538" t="e">
        <f>INDEX(PitRawData!$A$1:$AMK$3,3,MATCH(DO_NOT_EDIT!A538,PitRawData!$A$1:$AMK$1,0))</f>
        <v>#N/A</v>
      </c>
      <c r="E538" t="s">
        <v>752</v>
      </c>
    </row>
    <row r="539" spans="1:5" x14ac:dyDescent="0.25">
      <c r="A539" t="s">
        <v>430</v>
      </c>
      <c r="B539">
        <f>COUNTIF(PitRawData!$1:$1,DO_NOT_EDIT!A539)</f>
        <v>0</v>
      </c>
      <c r="C539" t="e">
        <f>MATCH(A539,PitRawData!$A$1:$AMK$1,0)</f>
        <v>#N/A</v>
      </c>
      <c r="D539" t="e">
        <f>INDEX(PitRawData!$A$1:$AMK$3,3,MATCH(DO_NOT_EDIT!A539,PitRawData!$A$1:$AMK$1,0))</f>
        <v>#N/A</v>
      </c>
      <c r="E539" t="s">
        <v>752</v>
      </c>
    </row>
    <row r="540" spans="1:5" x14ac:dyDescent="0.25">
      <c r="A540" t="s">
        <v>426</v>
      </c>
      <c r="B540">
        <f>COUNTIF(PitRawData!$1:$1,DO_NOT_EDIT!A540)</f>
        <v>0</v>
      </c>
      <c r="C540" t="e">
        <f>MATCH(A540,PitRawData!$A$1:$AMK$1,0)</f>
        <v>#N/A</v>
      </c>
      <c r="D540" t="e">
        <f>INDEX(PitRawData!$A$1:$AMK$3,3,MATCH(DO_NOT_EDIT!A540,PitRawData!$A$1:$AMK$1,0))</f>
        <v>#N/A</v>
      </c>
      <c r="E540" t="s">
        <v>752</v>
      </c>
    </row>
    <row r="541" spans="1:5" x14ac:dyDescent="0.25">
      <c r="A541" t="s">
        <v>422</v>
      </c>
      <c r="B541">
        <f>COUNTIF(PitRawData!$1:$1,DO_NOT_EDIT!A541)</f>
        <v>0</v>
      </c>
      <c r="C541" t="e">
        <f>MATCH(A541,PitRawData!$A$1:$AMK$1,0)</f>
        <v>#N/A</v>
      </c>
      <c r="D541" t="e">
        <f>INDEX(PitRawData!$A$1:$AMK$3,3,MATCH(DO_NOT_EDIT!A541,PitRawData!$A$1:$AMK$1,0))</f>
        <v>#N/A</v>
      </c>
      <c r="E541" t="s">
        <v>752</v>
      </c>
    </row>
    <row r="542" spans="1:5" x14ac:dyDescent="0.25">
      <c r="A542" t="s">
        <v>433</v>
      </c>
      <c r="B542">
        <f>COUNTIF(PitRawData!$1:$1,DO_NOT_EDIT!A542)</f>
        <v>0</v>
      </c>
      <c r="C542" t="e">
        <f>MATCH(A542,PitRawData!$A$1:$AMK$1,0)</f>
        <v>#N/A</v>
      </c>
      <c r="D542" t="e">
        <f>INDEX(PitRawData!$A$1:$AMK$3,3,MATCH(DO_NOT_EDIT!A542,PitRawData!$A$1:$AMK$1,0))</f>
        <v>#N/A</v>
      </c>
      <c r="E542" t="s">
        <v>752</v>
      </c>
    </row>
    <row r="543" spans="1:5" x14ac:dyDescent="0.25">
      <c r="A543" t="s">
        <v>429</v>
      </c>
      <c r="B543">
        <f>COUNTIF(PitRawData!$1:$1,DO_NOT_EDIT!A543)</f>
        <v>0</v>
      </c>
      <c r="C543" t="e">
        <f>MATCH(A543,PitRawData!$A$1:$AMK$1,0)</f>
        <v>#N/A</v>
      </c>
      <c r="D543" t="e">
        <f>INDEX(PitRawData!$A$1:$AMK$3,3,MATCH(DO_NOT_EDIT!A543,PitRawData!$A$1:$AMK$1,0))</f>
        <v>#N/A</v>
      </c>
      <c r="E543" t="s">
        <v>752</v>
      </c>
    </row>
    <row r="544" spans="1:5" x14ac:dyDescent="0.25">
      <c r="A544" t="s">
        <v>425</v>
      </c>
      <c r="B544">
        <f>COUNTIF(PitRawData!$1:$1,DO_NOT_EDIT!A544)</f>
        <v>0</v>
      </c>
      <c r="C544" t="e">
        <f>MATCH(A544,PitRawData!$A$1:$AMK$1,0)</f>
        <v>#N/A</v>
      </c>
      <c r="D544" t="e">
        <f>INDEX(PitRawData!$A$1:$AMK$3,3,MATCH(DO_NOT_EDIT!A544,PitRawData!$A$1:$AMK$1,0))</f>
        <v>#N/A</v>
      </c>
      <c r="E544" t="s">
        <v>752</v>
      </c>
    </row>
    <row r="545" spans="1:5" x14ac:dyDescent="0.25">
      <c r="A545" t="s">
        <v>421</v>
      </c>
      <c r="B545">
        <f>COUNTIF(PitRawData!$1:$1,DO_NOT_EDIT!A545)</f>
        <v>0</v>
      </c>
      <c r="C545" t="e">
        <f>MATCH(A545,PitRawData!$A$1:$AMK$1,0)</f>
        <v>#N/A</v>
      </c>
      <c r="D545" t="e">
        <f>INDEX(PitRawData!$A$1:$AMK$3,3,MATCH(DO_NOT_EDIT!A545,PitRawData!$A$1:$AMK$1,0))</f>
        <v>#N/A</v>
      </c>
      <c r="E545" t="s">
        <v>752</v>
      </c>
    </row>
    <row r="546" spans="1:5" x14ac:dyDescent="0.25">
      <c r="A546" t="s">
        <v>432</v>
      </c>
      <c r="B546">
        <f>COUNTIF(PitRawData!$1:$1,DO_NOT_EDIT!A546)</f>
        <v>0</v>
      </c>
      <c r="C546" t="e">
        <f>MATCH(A546,PitRawData!$A$1:$AMK$1,0)</f>
        <v>#N/A</v>
      </c>
      <c r="D546" t="e">
        <f>INDEX(PitRawData!$A$1:$AMK$3,3,MATCH(DO_NOT_EDIT!A546,PitRawData!$A$1:$AMK$1,0))</f>
        <v>#N/A</v>
      </c>
      <c r="E546" t="s">
        <v>752</v>
      </c>
    </row>
    <row r="547" spans="1:5" x14ac:dyDescent="0.25">
      <c r="A547" t="s">
        <v>428</v>
      </c>
      <c r="B547">
        <f>COUNTIF(PitRawData!$1:$1,DO_NOT_EDIT!A547)</f>
        <v>0</v>
      </c>
      <c r="C547" t="e">
        <f>MATCH(A547,PitRawData!$A$1:$AMK$1,0)</f>
        <v>#N/A</v>
      </c>
      <c r="D547" t="e">
        <f>INDEX(PitRawData!$A$1:$AMK$3,3,MATCH(DO_NOT_EDIT!A547,PitRawData!$A$1:$AMK$1,0))</f>
        <v>#N/A</v>
      </c>
      <c r="E547" t="s">
        <v>752</v>
      </c>
    </row>
    <row r="548" spans="1:5" x14ac:dyDescent="0.25">
      <c r="A548" t="s">
        <v>424</v>
      </c>
      <c r="B548">
        <f>COUNTIF(PitRawData!$1:$1,DO_NOT_EDIT!A548)</f>
        <v>0</v>
      </c>
      <c r="C548" t="e">
        <f>MATCH(A548,PitRawData!$A$1:$AMK$1,0)</f>
        <v>#N/A</v>
      </c>
      <c r="D548" t="e">
        <f>INDEX(PitRawData!$A$1:$AMK$3,3,MATCH(DO_NOT_EDIT!A548,PitRawData!$A$1:$AMK$1,0))</f>
        <v>#N/A</v>
      </c>
      <c r="E548" t="s">
        <v>752</v>
      </c>
    </row>
    <row r="549" spans="1:5" x14ac:dyDescent="0.25">
      <c r="A549" t="s">
        <v>420</v>
      </c>
      <c r="B549">
        <f>COUNTIF(PitRawData!$1:$1,DO_NOT_EDIT!A549)</f>
        <v>0</v>
      </c>
      <c r="C549" t="e">
        <f>MATCH(A549,PitRawData!$A$1:$AMK$1,0)</f>
        <v>#N/A</v>
      </c>
      <c r="D549" t="e">
        <f>INDEX(PitRawData!$A$1:$AMK$3,3,MATCH(DO_NOT_EDIT!A549,PitRawData!$A$1:$AMK$1,0))</f>
        <v>#N/A</v>
      </c>
      <c r="E549" t="s">
        <v>752</v>
      </c>
    </row>
    <row r="550" spans="1:5" x14ac:dyDescent="0.25">
      <c r="A550" t="s">
        <v>431</v>
      </c>
      <c r="B550">
        <f>COUNTIF(PitRawData!$1:$1,DO_NOT_EDIT!A550)</f>
        <v>0</v>
      </c>
      <c r="C550" t="e">
        <f>MATCH(A550,PitRawData!$A$1:$AMK$1,0)</f>
        <v>#N/A</v>
      </c>
      <c r="D550" t="e">
        <f>INDEX(PitRawData!$A$1:$AMK$3,3,MATCH(DO_NOT_EDIT!A550,PitRawData!$A$1:$AMK$1,0))</f>
        <v>#N/A</v>
      </c>
      <c r="E550" t="s">
        <v>752</v>
      </c>
    </row>
    <row r="551" spans="1:5" x14ac:dyDescent="0.25">
      <c r="A551" t="s">
        <v>427</v>
      </c>
      <c r="B551">
        <f>COUNTIF(PitRawData!$1:$1,DO_NOT_EDIT!A551)</f>
        <v>0</v>
      </c>
      <c r="C551" t="e">
        <f>MATCH(A551,PitRawData!$A$1:$AMK$1,0)</f>
        <v>#N/A</v>
      </c>
      <c r="D551" t="e">
        <f>INDEX(PitRawData!$A$1:$AMK$3,3,MATCH(DO_NOT_EDIT!A551,PitRawData!$A$1:$AMK$1,0))</f>
        <v>#N/A</v>
      </c>
      <c r="E551" t="s">
        <v>752</v>
      </c>
    </row>
    <row r="552" spans="1:5" x14ac:dyDescent="0.25">
      <c r="A552" t="s">
        <v>423</v>
      </c>
      <c r="B552">
        <f>COUNTIF(PitRawData!$1:$1,DO_NOT_EDIT!A552)</f>
        <v>0</v>
      </c>
      <c r="C552" t="e">
        <f>MATCH(A552,PitRawData!$A$1:$AMK$1,0)</f>
        <v>#N/A</v>
      </c>
      <c r="D552" t="e">
        <f>INDEX(PitRawData!$A$1:$AMK$3,3,MATCH(DO_NOT_EDIT!A552,PitRawData!$A$1:$AMK$1,0))</f>
        <v>#N/A</v>
      </c>
      <c r="E552" t="s">
        <v>752</v>
      </c>
    </row>
    <row r="553" spans="1:5" x14ac:dyDescent="0.25">
      <c r="A553" t="s">
        <v>419</v>
      </c>
      <c r="B553">
        <f>COUNTIF(PitRawData!$1:$1,DO_NOT_EDIT!A553)</f>
        <v>0</v>
      </c>
      <c r="C553" t="e">
        <f>MATCH(A553,PitRawData!$A$1:$AMK$1,0)</f>
        <v>#N/A</v>
      </c>
      <c r="D553" t="e">
        <f>INDEX(PitRawData!$A$1:$AMK$3,3,MATCH(DO_NOT_EDIT!A553,PitRawData!$A$1:$AMK$1,0))</f>
        <v>#N/A</v>
      </c>
      <c r="E553" t="s">
        <v>752</v>
      </c>
    </row>
    <row r="554" spans="1:5" x14ac:dyDescent="0.25">
      <c r="A554" t="s">
        <v>599</v>
      </c>
      <c r="B554">
        <f>COUNTIF(PitRawData!$1:$1,DO_NOT_EDIT!A554)</f>
        <v>0</v>
      </c>
      <c r="C554" t="e">
        <f>MATCH(A554,PitRawData!$A$1:$AMK$1,0)</f>
        <v>#N/A</v>
      </c>
      <c r="D554" t="e">
        <f>INDEX(PitRawData!$A$1:$AMK$3,3,MATCH(DO_NOT_EDIT!A554,PitRawData!$A$1:$AMK$1,0))</f>
        <v>#N/A</v>
      </c>
      <c r="E554" t="s">
        <v>745</v>
      </c>
    </row>
    <row r="555" spans="1:5" x14ac:dyDescent="0.25">
      <c r="A555" t="s">
        <v>527</v>
      </c>
      <c r="B555">
        <f>COUNTIF(PitRawData!$1:$1,DO_NOT_EDIT!A555)</f>
        <v>0</v>
      </c>
      <c r="C555" t="e">
        <f>MATCH(A555,PitRawData!$A$1:$AMK$1,0)</f>
        <v>#N/A</v>
      </c>
      <c r="D555" t="e">
        <f>INDEX(PitRawData!$A$1:$AMK$3,3,MATCH(DO_NOT_EDIT!A555,PitRawData!$A$1:$AMK$1,0))</f>
        <v>#N/A</v>
      </c>
      <c r="E555" t="s">
        <v>746</v>
      </c>
    </row>
    <row r="556" spans="1:5" x14ac:dyDescent="0.25">
      <c r="A556" t="s">
        <v>435</v>
      </c>
      <c r="B556">
        <f>COUNTIF(PitRawData!$1:$1,DO_NOT_EDIT!A556)</f>
        <v>0</v>
      </c>
      <c r="C556" t="e">
        <f>MATCH(A556,PitRawData!$A$1:$AMK$1,0)</f>
        <v>#N/A</v>
      </c>
      <c r="D556" t="e">
        <f>INDEX(PitRawData!$A$1:$AMK$3,3,MATCH(DO_NOT_EDIT!A556,PitRawData!$A$1:$AMK$1,0))</f>
        <v>#N/A</v>
      </c>
      <c r="E556" t="s">
        <v>747</v>
      </c>
    </row>
    <row r="557" spans="1:5" x14ac:dyDescent="0.25">
      <c r="A557" t="s">
        <v>342</v>
      </c>
      <c r="B557">
        <f>COUNTIF(PitRawData!$1:$1,DO_NOT_EDIT!A557)</f>
        <v>0</v>
      </c>
      <c r="C557" t="e">
        <f>MATCH(A557,PitRawData!$A$1:$AMK$1,0)</f>
        <v>#N/A</v>
      </c>
      <c r="D557" t="e">
        <f>INDEX(PitRawData!$A$1:$AMK$3,3,MATCH(DO_NOT_EDIT!A557,PitRawData!$A$1:$AMK$1,0))</f>
        <v>#N/A</v>
      </c>
      <c r="E557" t="s">
        <v>748</v>
      </c>
    </row>
    <row r="558" spans="1:5" x14ac:dyDescent="0.25">
      <c r="A558" t="s">
        <v>277</v>
      </c>
      <c r="B558">
        <f>COUNTIF(PitRawData!$1:$1,DO_NOT_EDIT!A558)</f>
        <v>0</v>
      </c>
      <c r="C558" t="e">
        <f>MATCH(A558,PitRawData!$A$1:$AMK$1,0)</f>
        <v>#N/A</v>
      </c>
      <c r="D558" t="e">
        <f>INDEX(PitRawData!$A$1:$AMK$3,3,MATCH(DO_NOT_EDIT!A558,PitRawData!$A$1:$AMK$1,0))</f>
        <v>#N/A</v>
      </c>
      <c r="E558" t="s">
        <v>749</v>
      </c>
    </row>
    <row r="559" spans="1:5" x14ac:dyDescent="0.25">
      <c r="A559" t="s">
        <v>218</v>
      </c>
      <c r="B559">
        <f>COUNTIF(PitRawData!$1:$1,DO_NOT_EDIT!A559)</f>
        <v>0</v>
      </c>
      <c r="C559" t="e">
        <f>MATCH(A559,PitRawData!$A$1:$AMK$1,0)</f>
        <v>#N/A</v>
      </c>
      <c r="D559" t="e">
        <f>INDEX(PitRawData!$A$1:$AMK$3,3,MATCH(DO_NOT_EDIT!A559,PitRawData!$A$1:$AMK$1,0))</f>
        <v>#N/A</v>
      </c>
      <c r="E559" t="s">
        <v>750</v>
      </c>
    </row>
    <row r="560" spans="1:5" x14ac:dyDescent="0.25">
      <c r="A560" t="s">
        <v>142</v>
      </c>
      <c r="B560">
        <f>COUNTIF(PitRawData!$1:$1,DO_NOT_EDIT!A560)</f>
        <v>0</v>
      </c>
      <c r="C560" t="e">
        <f>MATCH(A560,PitRawData!$A$1:$AMK$1,0)</f>
        <v>#N/A</v>
      </c>
      <c r="D560" t="e">
        <f>INDEX(PitRawData!$A$1:$AMK$3,3,MATCH(DO_NOT_EDIT!A560,PitRawData!$A$1:$AMK$1,0))</f>
        <v>#N/A</v>
      </c>
      <c r="E560" t="s">
        <v>751</v>
      </c>
    </row>
    <row r="561" spans="1:5" x14ac:dyDescent="0.25">
      <c r="A561" t="s">
        <v>418</v>
      </c>
      <c r="B561">
        <f>COUNTIF(PitRawData!$1:$1,DO_NOT_EDIT!A561)</f>
        <v>0</v>
      </c>
      <c r="C561" t="e">
        <f>MATCH(A561,PitRawData!$A$1:$AMK$1,0)</f>
        <v>#N/A</v>
      </c>
      <c r="D561" t="e">
        <f>INDEX(PitRawData!$A$1:$AMK$3,3,MATCH(DO_NOT_EDIT!A561,PitRawData!$A$1:$AMK$1,0))</f>
        <v>#N/A</v>
      </c>
      <c r="E561" t="s">
        <v>752</v>
      </c>
    </row>
    <row r="562" spans="1:5" x14ac:dyDescent="0.25">
      <c r="A562" t="s">
        <v>31</v>
      </c>
      <c r="B562">
        <f>COUNTIF(PitRawData!$1:$1,DO_NOT_EDIT!A562)</f>
        <v>0</v>
      </c>
      <c r="C562" t="e">
        <f>MATCH(A562,PitRawData!$A$1:$AMK$1,0)</f>
        <v>#N/A</v>
      </c>
      <c r="D562" t="e">
        <f>INDEX(PitRawData!$A$1:$AMK$3,3,MATCH(DO_NOT_EDIT!A562,PitRawData!$A$1:$AMK$1,0))</f>
        <v>#N/A</v>
      </c>
      <c r="E562" t="s">
        <v>753</v>
      </c>
    </row>
    <row r="563" spans="1:5" x14ac:dyDescent="0.25">
      <c r="A563" t="s">
        <v>141</v>
      </c>
      <c r="B563">
        <f>COUNTIF(PitRawData!$1:$1,DO_NOT_EDIT!A563)</f>
        <v>0</v>
      </c>
      <c r="C563" t="e">
        <f>MATCH(A563,PitRawData!$A$1:$AMK$1,0)</f>
        <v>#N/A</v>
      </c>
      <c r="D563" t="e">
        <f>INDEX(PitRawData!$A$1:$AMK$3,3,MATCH(DO_NOT_EDIT!A563,PitRawData!$A$1:$AMK$1,0))</f>
        <v>#N/A</v>
      </c>
      <c r="E563" t="s">
        <v>754</v>
      </c>
    </row>
    <row r="564" spans="1:5" x14ac:dyDescent="0.25">
      <c r="A564" t="s">
        <v>140</v>
      </c>
      <c r="B564">
        <f>COUNTIF(PitRawData!$1:$1,DO_NOT_EDIT!A564)</f>
        <v>0</v>
      </c>
      <c r="C564" t="e">
        <f>MATCH(A564,PitRawData!$A$1:$AMK$1,0)</f>
        <v>#N/A</v>
      </c>
      <c r="D564" t="e">
        <f>INDEX(PitRawData!$A$1:$AMK$3,3,MATCH(DO_NOT_EDIT!A564,PitRawData!$A$1:$AMK$1,0))</f>
        <v>#N/A</v>
      </c>
      <c r="E564" t="s">
        <v>754</v>
      </c>
    </row>
    <row r="565" spans="1:5" x14ac:dyDescent="0.25">
      <c r="A565" t="s">
        <v>139</v>
      </c>
      <c r="B565">
        <f>COUNTIF(PitRawData!$1:$1,DO_NOT_EDIT!A565)</f>
        <v>0</v>
      </c>
      <c r="C565" t="e">
        <f>MATCH(A565,PitRawData!$A$1:$AMK$1,0)</f>
        <v>#N/A</v>
      </c>
      <c r="D565" t="e">
        <f>INDEX(PitRawData!$A$1:$AMK$3,3,MATCH(DO_NOT_EDIT!A565,PitRawData!$A$1:$AMK$1,0))</f>
        <v>#N/A</v>
      </c>
      <c r="E565" t="s">
        <v>754</v>
      </c>
    </row>
    <row r="566" spans="1:5" x14ac:dyDescent="0.25">
      <c r="A566" t="s">
        <v>138</v>
      </c>
      <c r="B566">
        <f>COUNTIF(PitRawData!$1:$1,DO_NOT_EDIT!A566)</f>
        <v>0</v>
      </c>
      <c r="C566" t="e">
        <f>MATCH(A566,PitRawData!$A$1:$AMK$1,0)</f>
        <v>#N/A</v>
      </c>
      <c r="D566" t="e">
        <f>INDEX(PitRawData!$A$1:$AMK$3,3,MATCH(DO_NOT_EDIT!A566,PitRawData!$A$1:$AMK$1,0))</f>
        <v>#N/A</v>
      </c>
      <c r="E566" t="s">
        <v>754</v>
      </c>
    </row>
    <row r="567" spans="1:5" x14ac:dyDescent="0.25">
      <c r="A567" t="s">
        <v>137</v>
      </c>
      <c r="B567">
        <f>COUNTIF(PitRawData!$1:$1,DO_NOT_EDIT!A567)</f>
        <v>0</v>
      </c>
      <c r="C567" t="e">
        <f>MATCH(A567,PitRawData!$A$1:$AMK$1,0)</f>
        <v>#N/A</v>
      </c>
      <c r="D567" t="e">
        <f>INDEX(PitRawData!$A$1:$AMK$3,3,MATCH(DO_NOT_EDIT!A567,PitRawData!$A$1:$AMK$1,0))</f>
        <v>#N/A</v>
      </c>
      <c r="E567" t="s">
        <v>754</v>
      </c>
    </row>
    <row r="568" spans="1:5" x14ac:dyDescent="0.25">
      <c r="A568" t="s">
        <v>136</v>
      </c>
      <c r="B568">
        <f>COUNTIF(PitRawData!$1:$1,DO_NOT_EDIT!A568)</f>
        <v>0</v>
      </c>
      <c r="C568" t="e">
        <f>MATCH(A568,PitRawData!$A$1:$AMK$1,0)</f>
        <v>#N/A</v>
      </c>
      <c r="D568" t="e">
        <f>INDEX(PitRawData!$A$1:$AMK$3,3,MATCH(DO_NOT_EDIT!A568,PitRawData!$A$1:$AMK$1,0))</f>
        <v>#N/A</v>
      </c>
      <c r="E568" t="s">
        <v>754</v>
      </c>
    </row>
    <row r="569" spans="1:5" x14ac:dyDescent="0.25">
      <c r="A569" t="s">
        <v>135</v>
      </c>
      <c r="B569">
        <f>COUNTIF(PitRawData!$1:$1,DO_NOT_EDIT!A569)</f>
        <v>0</v>
      </c>
      <c r="C569" t="e">
        <f>MATCH(A569,PitRawData!$A$1:$AMK$1,0)</f>
        <v>#N/A</v>
      </c>
      <c r="D569" t="e">
        <f>INDEX(PitRawData!$A$1:$AMK$3,3,MATCH(DO_NOT_EDIT!A569,PitRawData!$A$1:$AMK$1,0))</f>
        <v>#N/A</v>
      </c>
      <c r="E569" t="s">
        <v>754</v>
      </c>
    </row>
    <row r="570" spans="1:5" x14ac:dyDescent="0.25">
      <c r="A570" t="s">
        <v>134</v>
      </c>
      <c r="B570">
        <f>COUNTIF(PitRawData!$1:$1,DO_NOT_EDIT!A570)</f>
        <v>0</v>
      </c>
      <c r="C570" t="e">
        <f>MATCH(A570,PitRawData!$A$1:$AMK$1,0)</f>
        <v>#N/A</v>
      </c>
      <c r="D570" t="e">
        <f>INDEX(PitRawData!$A$1:$AMK$3,3,MATCH(DO_NOT_EDIT!A570,PitRawData!$A$1:$AMK$1,0))</f>
        <v>#N/A</v>
      </c>
      <c r="E570" t="s">
        <v>754</v>
      </c>
    </row>
    <row r="571" spans="1:5" x14ac:dyDescent="0.25">
      <c r="A571" t="s">
        <v>133</v>
      </c>
      <c r="B571">
        <f>COUNTIF(PitRawData!$1:$1,DO_NOT_EDIT!A571)</f>
        <v>0</v>
      </c>
      <c r="C571" t="e">
        <f>MATCH(A571,PitRawData!$A$1:$AMK$1,0)</f>
        <v>#N/A</v>
      </c>
      <c r="D571" t="e">
        <f>INDEX(PitRawData!$A$1:$AMK$3,3,MATCH(DO_NOT_EDIT!A571,PitRawData!$A$1:$AMK$1,0))</f>
        <v>#N/A</v>
      </c>
      <c r="E571" t="s">
        <v>754</v>
      </c>
    </row>
    <row r="572" spans="1:5" x14ac:dyDescent="0.25">
      <c r="A572" t="s">
        <v>132</v>
      </c>
      <c r="B572">
        <f>COUNTIF(PitRawData!$1:$1,DO_NOT_EDIT!A572)</f>
        <v>0</v>
      </c>
      <c r="C572" t="e">
        <f>MATCH(A572,PitRawData!$A$1:$AMK$1,0)</f>
        <v>#N/A</v>
      </c>
      <c r="D572" t="e">
        <f>INDEX(PitRawData!$A$1:$AMK$3,3,MATCH(DO_NOT_EDIT!A572,PitRawData!$A$1:$AMK$1,0))</f>
        <v>#N/A</v>
      </c>
      <c r="E572" t="s">
        <v>754</v>
      </c>
    </row>
    <row r="573" spans="1:5" x14ac:dyDescent="0.25">
      <c r="A573" t="s">
        <v>131</v>
      </c>
      <c r="B573">
        <f>COUNTIF(PitRawData!$1:$1,DO_NOT_EDIT!A573)</f>
        <v>0</v>
      </c>
      <c r="C573" t="e">
        <f>MATCH(A573,PitRawData!$A$1:$AMK$1,0)</f>
        <v>#N/A</v>
      </c>
      <c r="D573" t="e">
        <f>INDEX(PitRawData!$A$1:$AMK$3,3,MATCH(DO_NOT_EDIT!A573,PitRawData!$A$1:$AMK$1,0))</f>
        <v>#N/A</v>
      </c>
      <c r="E573" t="s">
        <v>754</v>
      </c>
    </row>
    <row r="574" spans="1:5" x14ac:dyDescent="0.25">
      <c r="A574" t="s">
        <v>130</v>
      </c>
      <c r="B574">
        <f>COUNTIF(PitRawData!$1:$1,DO_NOT_EDIT!A574)</f>
        <v>0</v>
      </c>
      <c r="C574" t="e">
        <f>MATCH(A574,PitRawData!$A$1:$AMK$1,0)</f>
        <v>#N/A</v>
      </c>
      <c r="D574" t="e">
        <f>INDEX(PitRawData!$A$1:$AMK$3,3,MATCH(DO_NOT_EDIT!A574,PitRawData!$A$1:$AMK$1,0))</f>
        <v>#N/A</v>
      </c>
      <c r="E574" t="s">
        <v>754</v>
      </c>
    </row>
    <row r="575" spans="1:5" x14ac:dyDescent="0.25">
      <c r="A575" t="s">
        <v>129</v>
      </c>
      <c r="B575">
        <f>COUNTIF(PitRawData!$1:$1,DO_NOT_EDIT!A575)</f>
        <v>0</v>
      </c>
      <c r="C575" t="e">
        <f>MATCH(A575,PitRawData!$A$1:$AMK$1,0)</f>
        <v>#N/A</v>
      </c>
      <c r="D575" t="e">
        <f>INDEX(PitRawData!$A$1:$AMK$3,3,MATCH(DO_NOT_EDIT!A575,PitRawData!$A$1:$AMK$1,0))</f>
        <v>#N/A</v>
      </c>
      <c r="E575" t="s">
        <v>754</v>
      </c>
    </row>
    <row r="576" spans="1:5" x14ac:dyDescent="0.25">
      <c r="A576" t="s">
        <v>128</v>
      </c>
      <c r="B576">
        <f>COUNTIF(PitRawData!$1:$1,DO_NOT_EDIT!A576)</f>
        <v>0</v>
      </c>
      <c r="C576" t="e">
        <f>MATCH(A576,PitRawData!$A$1:$AMK$1,0)</f>
        <v>#N/A</v>
      </c>
      <c r="D576" t="e">
        <f>INDEX(PitRawData!$A$1:$AMK$3,3,MATCH(DO_NOT_EDIT!A576,PitRawData!$A$1:$AMK$1,0))</f>
        <v>#N/A</v>
      </c>
      <c r="E576" t="s">
        <v>754</v>
      </c>
    </row>
    <row r="577" spans="1:5" x14ac:dyDescent="0.25">
      <c r="A577" t="s">
        <v>127</v>
      </c>
      <c r="B577">
        <f>COUNTIF(PitRawData!$1:$1,DO_NOT_EDIT!A577)</f>
        <v>0</v>
      </c>
      <c r="C577" t="e">
        <f>MATCH(A577,PitRawData!$A$1:$AMK$1,0)</f>
        <v>#N/A</v>
      </c>
      <c r="D577" t="e">
        <f>INDEX(PitRawData!$A$1:$AMK$3,3,MATCH(DO_NOT_EDIT!A577,PitRawData!$A$1:$AMK$1,0))</f>
        <v>#N/A</v>
      </c>
      <c r="E577" t="s">
        <v>754</v>
      </c>
    </row>
    <row r="578" spans="1:5" x14ac:dyDescent="0.25">
      <c r="A578" t="s">
        <v>126</v>
      </c>
      <c r="B578">
        <f>COUNTIF(PitRawData!$1:$1,DO_NOT_EDIT!A578)</f>
        <v>0</v>
      </c>
      <c r="C578" t="e">
        <f>MATCH(A578,PitRawData!$A$1:$AMK$1,0)</f>
        <v>#N/A</v>
      </c>
      <c r="D578" t="e">
        <f>INDEX(PitRawData!$A$1:$AMK$3,3,MATCH(DO_NOT_EDIT!A578,PitRawData!$A$1:$AMK$1,0))</f>
        <v>#N/A</v>
      </c>
      <c r="E578" t="s">
        <v>754</v>
      </c>
    </row>
    <row r="579" spans="1:5" x14ac:dyDescent="0.25">
      <c r="A579" t="s">
        <v>125</v>
      </c>
      <c r="B579">
        <f>COUNTIF(PitRawData!$1:$1,DO_NOT_EDIT!A579)</f>
        <v>0</v>
      </c>
      <c r="C579" t="e">
        <f>MATCH(A579,PitRawData!$A$1:$AMK$1,0)</f>
        <v>#N/A</v>
      </c>
      <c r="D579" t="e">
        <f>INDEX(PitRawData!$A$1:$AMK$3,3,MATCH(DO_NOT_EDIT!A579,PitRawData!$A$1:$AMK$1,0))</f>
        <v>#N/A</v>
      </c>
      <c r="E579" t="s">
        <v>754</v>
      </c>
    </row>
    <row r="580" spans="1:5" x14ac:dyDescent="0.25">
      <c r="A580" t="s">
        <v>124</v>
      </c>
      <c r="B580">
        <f>COUNTIF(PitRawData!$1:$1,DO_NOT_EDIT!A580)</f>
        <v>0</v>
      </c>
      <c r="C580" t="e">
        <f>MATCH(A580,PitRawData!$A$1:$AMK$1,0)</f>
        <v>#N/A</v>
      </c>
      <c r="D580" t="e">
        <f>INDEX(PitRawData!$A$1:$AMK$3,3,MATCH(DO_NOT_EDIT!A580,PitRawData!$A$1:$AMK$1,0))</f>
        <v>#N/A</v>
      </c>
      <c r="E580" t="s">
        <v>754</v>
      </c>
    </row>
    <row r="581" spans="1:5" x14ac:dyDescent="0.25">
      <c r="A581" t="s">
        <v>123</v>
      </c>
      <c r="B581">
        <f>COUNTIF(PitRawData!$1:$1,DO_NOT_EDIT!A581)</f>
        <v>0</v>
      </c>
      <c r="C581" t="e">
        <f>MATCH(A581,PitRawData!$A$1:$AMK$1,0)</f>
        <v>#N/A</v>
      </c>
      <c r="D581" t="e">
        <f>INDEX(PitRawData!$A$1:$AMK$3,3,MATCH(DO_NOT_EDIT!A581,PitRawData!$A$1:$AMK$1,0))</f>
        <v>#N/A</v>
      </c>
      <c r="E581" t="s">
        <v>754</v>
      </c>
    </row>
    <row r="582" spans="1:5" x14ac:dyDescent="0.25">
      <c r="A582" t="s">
        <v>122</v>
      </c>
      <c r="B582">
        <f>COUNTIF(PitRawData!$1:$1,DO_NOT_EDIT!A582)</f>
        <v>0</v>
      </c>
      <c r="C582" t="e">
        <f>MATCH(A582,PitRawData!$A$1:$AMK$1,0)</f>
        <v>#N/A</v>
      </c>
      <c r="D582" t="e">
        <f>INDEX(PitRawData!$A$1:$AMK$3,3,MATCH(DO_NOT_EDIT!A582,PitRawData!$A$1:$AMK$1,0))</f>
        <v>#N/A</v>
      </c>
      <c r="E582" t="s">
        <v>754</v>
      </c>
    </row>
    <row r="583" spans="1:5" x14ac:dyDescent="0.25">
      <c r="A583" t="s">
        <v>121</v>
      </c>
      <c r="B583">
        <f>COUNTIF(PitRawData!$1:$1,DO_NOT_EDIT!A583)</f>
        <v>0</v>
      </c>
      <c r="C583" t="e">
        <f>MATCH(A583,PitRawData!$A$1:$AMK$1,0)</f>
        <v>#N/A</v>
      </c>
      <c r="D583" t="e">
        <f>INDEX(PitRawData!$A$1:$AMK$3,3,MATCH(DO_NOT_EDIT!A583,PitRawData!$A$1:$AMK$1,0))</f>
        <v>#N/A</v>
      </c>
      <c r="E583" t="s">
        <v>754</v>
      </c>
    </row>
    <row r="584" spans="1:5" x14ac:dyDescent="0.25">
      <c r="A584" t="s">
        <v>120</v>
      </c>
      <c r="B584">
        <f>COUNTIF(PitRawData!$1:$1,DO_NOT_EDIT!A584)</f>
        <v>0</v>
      </c>
      <c r="C584" t="e">
        <f>MATCH(A584,PitRawData!$A$1:$AMK$1,0)</f>
        <v>#N/A</v>
      </c>
      <c r="D584" t="e">
        <f>INDEX(PitRawData!$A$1:$AMK$3,3,MATCH(DO_NOT_EDIT!A584,PitRawData!$A$1:$AMK$1,0))</f>
        <v>#N/A</v>
      </c>
      <c r="E584" t="s">
        <v>754</v>
      </c>
    </row>
    <row r="585" spans="1:5" x14ac:dyDescent="0.25">
      <c r="A585" t="s">
        <v>119</v>
      </c>
      <c r="B585">
        <f>COUNTIF(PitRawData!$1:$1,DO_NOT_EDIT!A585)</f>
        <v>0</v>
      </c>
      <c r="C585" t="e">
        <f>MATCH(A585,PitRawData!$A$1:$AMK$1,0)</f>
        <v>#N/A</v>
      </c>
      <c r="D585" t="e">
        <f>INDEX(PitRawData!$A$1:$AMK$3,3,MATCH(DO_NOT_EDIT!A585,PitRawData!$A$1:$AMK$1,0))</f>
        <v>#N/A</v>
      </c>
      <c r="E585" t="s">
        <v>754</v>
      </c>
    </row>
    <row r="586" spans="1:5" x14ac:dyDescent="0.25">
      <c r="A586" t="s">
        <v>118</v>
      </c>
      <c r="B586">
        <f>COUNTIF(PitRawData!$1:$1,DO_NOT_EDIT!A586)</f>
        <v>0</v>
      </c>
      <c r="C586" t="e">
        <f>MATCH(A586,PitRawData!$A$1:$AMK$1,0)</f>
        <v>#N/A</v>
      </c>
      <c r="D586" t="e">
        <f>INDEX(PitRawData!$A$1:$AMK$3,3,MATCH(DO_NOT_EDIT!A586,PitRawData!$A$1:$AMK$1,0))</f>
        <v>#N/A</v>
      </c>
      <c r="E586" t="s">
        <v>754</v>
      </c>
    </row>
    <row r="587" spans="1:5" x14ac:dyDescent="0.25">
      <c r="A587" t="s">
        <v>117</v>
      </c>
      <c r="B587">
        <f>COUNTIF(PitRawData!$1:$1,DO_NOT_EDIT!A587)</f>
        <v>0</v>
      </c>
      <c r="C587" t="e">
        <f>MATCH(A587,PitRawData!$A$1:$AMK$1,0)</f>
        <v>#N/A</v>
      </c>
      <c r="D587" t="e">
        <f>INDEX(PitRawData!$A$1:$AMK$3,3,MATCH(DO_NOT_EDIT!A587,PitRawData!$A$1:$AMK$1,0))</f>
        <v>#N/A</v>
      </c>
      <c r="E587" t="s">
        <v>754</v>
      </c>
    </row>
    <row r="588" spans="1:5" x14ac:dyDescent="0.25">
      <c r="A588" t="s">
        <v>116</v>
      </c>
      <c r="B588">
        <f>COUNTIF(PitRawData!$1:$1,DO_NOT_EDIT!A588)</f>
        <v>0</v>
      </c>
      <c r="C588" t="e">
        <f>MATCH(A588,PitRawData!$A$1:$AMK$1,0)</f>
        <v>#N/A</v>
      </c>
      <c r="D588" t="e">
        <f>INDEX(PitRawData!$A$1:$AMK$3,3,MATCH(DO_NOT_EDIT!A588,PitRawData!$A$1:$AMK$1,0))</f>
        <v>#N/A</v>
      </c>
      <c r="E588" t="s">
        <v>754</v>
      </c>
    </row>
    <row r="589" spans="1:5" x14ac:dyDescent="0.25">
      <c r="A589" t="s">
        <v>115</v>
      </c>
      <c r="B589">
        <f>COUNTIF(PitRawData!$1:$1,DO_NOT_EDIT!A589)</f>
        <v>0</v>
      </c>
      <c r="C589" t="e">
        <f>MATCH(A589,PitRawData!$A$1:$AMK$1,0)</f>
        <v>#N/A</v>
      </c>
      <c r="D589" t="e">
        <f>INDEX(PitRawData!$A$1:$AMK$3,3,MATCH(DO_NOT_EDIT!A589,PitRawData!$A$1:$AMK$1,0))</f>
        <v>#N/A</v>
      </c>
      <c r="E589" t="s">
        <v>754</v>
      </c>
    </row>
    <row r="590" spans="1:5" x14ac:dyDescent="0.25">
      <c r="A590" t="s">
        <v>114</v>
      </c>
      <c r="B590">
        <f>COUNTIF(PitRawData!$1:$1,DO_NOT_EDIT!A590)</f>
        <v>0</v>
      </c>
      <c r="C590" t="e">
        <f>MATCH(A590,PitRawData!$A$1:$AMK$1,0)</f>
        <v>#N/A</v>
      </c>
      <c r="D590" t="e">
        <f>INDEX(PitRawData!$A$1:$AMK$3,3,MATCH(DO_NOT_EDIT!A590,PitRawData!$A$1:$AMK$1,0))</f>
        <v>#N/A</v>
      </c>
      <c r="E590" t="s">
        <v>754</v>
      </c>
    </row>
    <row r="591" spans="1:5" x14ac:dyDescent="0.25">
      <c r="A591" t="s">
        <v>113</v>
      </c>
      <c r="B591">
        <f>COUNTIF(PitRawData!$1:$1,DO_NOT_EDIT!A591)</f>
        <v>0</v>
      </c>
      <c r="C591" t="e">
        <f>MATCH(A591,PitRawData!$A$1:$AMK$1,0)</f>
        <v>#N/A</v>
      </c>
      <c r="D591" t="e">
        <f>INDEX(PitRawData!$A$1:$AMK$3,3,MATCH(DO_NOT_EDIT!A591,PitRawData!$A$1:$AMK$1,0))</f>
        <v>#N/A</v>
      </c>
      <c r="E591" t="s">
        <v>754</v>
      </c>
    </row>
    <row r="592" spans="1:5" x14ac:dyDescent="0.25">
      <c r="A592" t="s">
        <v>112</v>
      </c>
      <c r="B592">
        <f>COUNTIF(PitRawData!$1:$1,DO_NOT_EDIT!A592)</f>
        <v>0</v>
      </c>
      <c r="C592" t="e">
        <f>MATCH(A592,PitRawData!$A$1:$AMK$1,0)</f>
        <v>#N/A</v>
      </c>
      <c r="D592" t="e">
        <f>INDEX(PitRawData!$A$1:$AMK$3,3,MATCH(DO_NOT_EDIT!A592,PitRawData!$A$1:$AMK$1,0))</f>
        <v>#N/A</v>
      </c>
      <c r="E592" t="s">
        <v>754</v>
      </c>
    </row>
    <row r="593" spans="1:5" x14ac:dyDescent="0.25">
      <c r="A593" t="s">
        <v>111</v>
      </c>
      <c r="B593">
        <f>COUNTIF(PitRawData!$1:$1,DO_NOT_EDIT!A593)</f>
        <v>0</v>
      </c>
      <c r="C593" t="e">
        <f>MATCH(A593,PitRawData!$A$1:$AMK$1,0)</f>
        <v>#N/A</v>
      </c>
      <c r="D593" t="e">
        <f>INDEX(PitRawData!$A$1:$AMK$3,3,MATCH(DO_NOT_EDIT!A593,PitRawData!$A$1:$AMK$1,0))</f>
        <v>#N/A</v>
      </c>
      <c r="E593" t="s">
        <v>754</v>
      </c>
    </row>
    <row r="594" spans="1:5" x14ac:dyDescent="0.25">
      <c r="A594" t="s">
        <v>110</v>
      </c>
      <c r="B594">
        <f>COUNTIF(PitRawData!$1:$1,DO_NOT_EDIT!A594)</f>
        <v>0</v>
      </c>
      <c r="C594" t="e">
        <f>MATCH(A594,PitRawData!$A$1:$AMK$1,0)</f>
        <v>#N/A</v>
      </c>
      <c r="D594" t="e">
        <f>INDEX(PitRawData!$A$1:$AMK$3,3,MATCH(DO_NOT_EDIT!A594,PitRawData!$A$1:$AMK$1,0))</f>
        <v>#N/A</v>
      </c>
      <c r="E594" t="s">
        <v>754</v>
      </c>
    </row>
    <row r="595" spans="1:5" x14ac:dyDescent="0.25">
      <c r="A595" t="s">
        <v>109</v>
      </c>
      <c r="B595">
        <f>COUNTIF(PitRawData!$1:$1,DO_NOT_EDIT!A595)</f>
        <v>0</v>
      </c>
      <c r="C595" t="e">
        <f>MATCH(A595,PitRawData!$A$1:$AMK$1,0)</f>
        <v>#N/A</v>
      </c>
      <c r="D595" t="e">
        <f>INDEX(PitRawData!$A$1:$AMK$3,3,MATCH(DO_NOT_EDIT!A595,PitRawData!$A$1:$AMK$1,0))</f>
        <v>#N/A</v>
      </c>
      <c r="E595" t="s">
        <v>754</v>
      </c>
    </row>
    <row r="596" spans="1:5" x14ac:dyDescent="0.25">
      <c r="A596" t="s">
        <v>108</v>
      </c>
      <c r="B596">
        <f>COUNTIF(PitRawData!$1:$1,DO_NOT_EDIT!A596)</f>
        <v>0</v>
      </c>
      <c r="C596" t="e">
        <f>MATCH(A596,PitRawData!$A$1:$AMK$1,0)</f>
        <v>#N/A</v>
      </c>
      <c r="D596" t="e">
        <f>INDEX(PitRawData!$A$1:$AMK$3,3,MATCH(DO_NOT_EDIT!A596,PitRawData!$A$1:$AMK$1,0))</f>
        <v>#N/A</v>
      </c>
      <c r="E596" t="s">
        <v>754</v>
      </c>
    </row>
    <row r="597" spans="1:5" x14ac:dyDescent="0.25">
      <c r="A597" t="s">
        <v>107</v>
      </c>
      <c r="B597">
        <f>COUNTIF(PitRawData!$1:$1,DO_NOT_EDIT!A597)</f>
        <v>0</v>
      </c>
      <c r="C597" t="e">
        <f>MATCH(A597,PitRawData!$A$1:$AMK$1,0)</f>
        <v>#N/A</v>
      </c>
      <c r="D597" t="e">
        <f>INDEX(PitRawData!$A$1:$AMK$3,3,MATCH(DO_NOT_EDIT!A597,PitRawData!$A$1:$AMK$1,0))</f>
        <v>#N/A</v>
      </c>
      <c r="E597" t="s">
        <v>754</v>
      </c>
    </row>
    <row r="598" spans="1:5" x14ac:dyDescent="0.25">
      <c r="A598" t="s">
        <v>106</v>
      </c>
      <c r="B598">
        <f>COUNTIF(PitRawData!$1:$1,DO_NOT_EDIT!A598)</f>
        <v>0</v>
      </c>
      <c r="C598" t="e">
        <f>MATCH(A598,PitRawData!$A$1:$AMK$1,0)</f>
        <v>#N/A</v>
      </c>
      <c r="D598" t="e">
        <f>INDEX(PitRawData!$A$1:$AMK$3,3,MATCH(DO_NOT_EDIT!A598,PitRawData!$A$1:$AMK$1,0))</f>
        <v>#N/A</v>
      </c>
      <c r="E598" t="s">
        <v>754</v>
      </c>
    </row>
    <row r="599" spans="1:5" x14ac:dyDescent="0.25">
      <c r="A599" t="s">
        <v>105</v>
      </c>
      <c r="B599">
        <f>COUNTIF(PitRawData!$1:$1,DO_NOT_EDIT!A599)</f>
        <v>0</v>
      </c>
      <c r="C599" t="e">
        <f>MATCH(A599,PitRawData!$A$1:$AMK$1,0)</f>
        <v>#N/A</v>
      </c>
      <c r="D599" t="e">
        <f>INDEX(PitRawData!$A$1:$AMK$3,3,MATCH(DO_NOT_EDIT!A599,PitRawData!$A$1:$AMK$1,0))</f>
        <v>#N/A</v>
      </c>
      <c r="E599" t="s">
        <v>754</v>
      </c>
    </row>
    <row r="600" spans="1:5" x14ac:dyDescent="0.25">
      <c r="A600" t="s">
        <v>104</v>
      </c>
      <c r="B600">
        <f>COUNTIF(PitRawData!$1:$1,DO_NOT_EDIT!A600)</f>
        <v>0</v>
      </c>
      <c r="C600" t="e">
        <f>MATCH(A600,PitRawData!$A$1:$AMK$1,0)</f>
        <v>#N/A</v>
      </c>
      <c r="D600" t="e">
        <f>INDEX(PitRawData!$A$1:$AMK$3,3,MATCH(DO_NOT_EDIT!A600,PitRawData!$A$1:$AMK$1,0))</f>
        <v>#N/A</v>
      </c>
      <c r="E600" t="s">
        <v>754</v>
      </c>
    </row>
    <row r="601" spans="1:5" x14ac:dyDescent="0.25">
      <c r="A601" t="s">
        <v>103</v>
      </c>
      <c r="B601">
        <f>COUNTIF(PitRawData!$1:$1,DO_NOT_EDIT!A601)</f>
        <v>0</v>
      </c>
      <c r="C601" t="e">
        <f>MATCH(A601,PitRawData!$A$1:$AMK$1,0)</f>
        <v>#N/A</v>
      </c>
      <c r="D601" t="e">
        <f>INDEX(PitRawData!$A$1:$AMK$3,3,MATCH(DO_NOT_EDIT!A601,PitRawData!$A$1:$AMK$1,0))</f>
        <v>#N/A</v>
      </c>
      <c r="E601" t="s">
        <v>754</v>
      </c>
    </row>
    <row r="602" spans="1:5" x14ac:dyDescent="0.25">
      <c r="A602" t="s">
        <v>102</v>
      </c>
      <c r="B602">
        <f>COUNTIF(PitRawData!$1:$1,DO_NOT_EDIT!A602)</f>
        <v>0</v>
      </c>
      <c r="C602" t="e">
        <f>MATCH(A602,PitRawData!$A$1:$AMK$1,0)</f>
        <v>#N/A</v>
      </c>
      <c r="D602" t="e">
        <f>INDEX(PitRawData!$A$1:$AMK$3,3,MATCH(DO_NOT_EDIT!A602,PitRawData!$A$1:$AMK$1,0))</f>
        <v>#N/A</v>
      </c>
      <c r="E602" t="s">
        <v>754</v>
      </c>
    </row>
    <row r="603" spans="1:5" x14ac:dyDescent="0.25">
      <c r="A603" t="s">
        <v>101</v>
      </c>
      <c r="B603">
        <f>COUNTIF(PitRawData!$1:$1,DO_NOT_EDIT!A603)</f>
        <v>0</v>
      </c>
      <c r="C603" t="e">
        <f>MATCH(A603,PitRawData!$A$1:$AMK$1,0)</f>
        <v>#N/A</v>
      </c>
      <c r="D603" t="e">
        <f>INDEX(PitRawData!$A$1:$AMK$3,3,MATCH(DO_NOT_EDIT!A603,PitRawData!$A$1:$AMK$1,0))</f>
        <v>#N/A</v>
      </c>
      <c r="E603" t="s">
        <v>754</v>
      </c>
    </row>
    <row r="604" spans="1:5" x14ac:dyDescent="0.25">
      <c r="A604" t="s">
        <v>100</v>
      </c>
      <c r="B604">
        <f>COUNTIF(PitRawData!$1:$1,DO_NOT_EDIT!A604)</f>
        <v>0</v>
      </c>
      <c r="C604" t="e">
        <f>MATCH(A604,PitRawData!$A$1:$AMK$1,0)</f>
        <v>#N/A</v>
      </c>
      <c r="D604" t="e">
        <f>INDEX(PitRawData!$A$1:$AMK$3,3,MATCH(DO_NOT_EDIT!A604,PitRawData!$A$1:$AMK$1,0))</f>
        <v>#N/A</v>
      </c>
      <c r="E604" t="s">
        <v>754</v>
      </c>
    </row>
    <row r="605" spans="1:5" x14ac:dyDescent="0.25">
      <c r="A605" t="s">
        <v>99</v>
      </c>
      <c r="B605">
        <f>COUNTIF(PitRawData!$1:$1,DO_NOT_EDIT!A605)</f>
        <v>0</v>
      </c>
      <c r="C605" t="e">
        <f>MATCH(A605,PitRawData!$A$1:$AMK$1,0)</f>
        <v>#N/A</v>
      </c>
      <c r="D605" t="e">
        <f>INDEX(PitRawData!$A$1:$AMK$3,3,MATCH(DO_NOT_EDIT!A605,PitRawData!$A$1:$AMK$1,0))</f>
        <v>#N/A</v>
      </c>
      <c r="E605" t="s">
        <v>754</v>
      </c>
    </row>
    <row r="606" spans="1:5" x14ac:dyDescent="0.25">
      <c r="A606" t="s">
        <v>98</v>
      </c>
      <c r="B606">
        <f>COUNTIF(PitRawData!$1:$1,DO_NOT_EDIT!A606)</f>
        <v>0</v>
      </c>
      <c r="C606" t="e">
        <f>MATCH(A606,PitRawData!$A$1:$AMK$1,0)</f>
        <v>#N/A</v>
      </c>
      <c r="D606" t="e">
        <f>INDEX(PitRawData!$A$1:$AMK$3,3,MATCH(DO_NOT_EDIT!A606,PitRawData!$A$1:$AMK$1,0))</f>
        <v>#N/A</v>
      </c>
      <c r="E606" t="s">
        <v>754</v>
      </c>
    </row>
    <row r="607" spans="1:5" x14ac:dyDescent="0.25">
      <c r="A607" t="s">
        <v>97</v>
      </c>
      <c r="B607">
        <f>COUNTIF(PitRawData!$1:$1,DO_NOT_EDIT!A607)</f>
        <v>0</v>
      </c>
      <c r="C607" t="e">
        <f>MATCH(A607,PitRawData!$A$1:$AMK$1,0)</f>
        <v>#N/A</v>
      </c>
      <c r="D607" t="e">
        <f>INDEX(PitRawData!$A$1:$AMK$3,3,MATCH(DO_NOT_EDIT!A607,PitRawData!$A$1:$AMK$1,0))</f>
        <v>#N/A</v>
      </c>
      <c r="E607" t="s">
        <v>754</v>
      </c>
    </row>
    <row r="608" spans="1:5" x14ac:dyDescent="0.25">
      <c r="A608" t="s">
        <v>96</v>
      </c>
      <c r="B608">
        <f>COUNTIF(PitRawData!$1:$1,DO_NOT_EDIT!A608)</f>
        <v>0</v>
      </c>
      <c r="C608" t="e">
        <f>MATCH(A608,PitRawData!$A$1:$AMK$1,0)</f>
        <v>#N/A</v>
      </c>
      <c r="D608" t="e">
        <f>INDEX(PitRawData!$A$1:$AMK$3,3,MATCH(DO_NOT_EDIT!A608,PitRawData!$A$1:$AMK$1,0))</f>
        <v>#N/A</v>
      </c>
      <c r="E608" t="s">
        <v>754</v>
      </c>
    </row>
    <row r="609" spans="1:5" x14ac:dyDescent="0.25">
      <c r="A609" t="s">
        <v>95</v>
      </c>
      <c r="B609">
        <f>COUNTIF(PitRawData!$1:$1,DO_NOT_EDIT!A609)</f>
        <v>0</v>
      </c>
      <c r="C609" t="e">
        <f>MATCH(A609,PitRawData!$A$1:$AMK$1,0)</f>
        <v>#N/A</v>
      </c>
      <c r="D609" t="e">
        <f>INDEX(PitRawData!$A$1:$AMK$3,3,MATCH(DO_NOT_EDIT!A609,PitRawData!$A$1:$AMK$1,0))</f>
        <v>#N/A</v>
      </c>
      <c r="E609" t="s">
        <v>754</v>
      </c>
    </row>
    <row r="610" spans="1:5" x14ac:dyDescent="0.25">
      <c r="A610" t="s">
        <v>94</v>
      </c>
      <c r="B610">
        <f>COUNTIF(PitRawData!$1:$1,DO_NOT_EDIT!A610)</f>
        <v>0</v>
      </c>
      <c r="C610" t="e">
        <f>MATCH(A610,PitRawData!$A$1:$AMK$1,0)</f>
        <v>#N/A</v>
      </c>
      <c r="D610" t="e">
        <f>INDEX(PitRawData!$A$1:$AMK$3,3,MATCH(DO_NOT_EDIT!A610,PitRawData!$A$1:$AMK$1,0))</f>
        <v>#N/A</v>
      </c>
      <c r="E610" t="s">
        <v>754</v>
      </c>
    </row>
    <row r="611" spans="1:5" x14ac:dyDescent="0.25">
      <c r="A611" t="s">
        <v>93</v>
      </c>
      <c r="B611">
        <f>COUNTIF(PitRawData!$1:$1,DO_NOT_EDIT!A611)</f>
        <v>0</v>
      </c>
      <c r="C611" t="e">
        <f>MATCH(A611,PitRawData!$A$1:$AMK$1,0)</f>
        <v>#N/A</v>
      </c>
      <c r="D611" t="e">
        <f>INDEX(PitRawData!$A$1:$AMK$3,3,MATCH(DO_NOT_EDIT!A611,PitRawData!$A$1:$AMK$1,0))</f>
        <v>#N/A</v>
      </c>
      <c r="E611" t="s">
        <v>754</v>
      </c>
    </row>
    <row r="612" spans="1:5" x14ac:dyDescent="0.25">
      <c r="A612" t="s">
        <v>92</v>
      </c>
      <c r="B612">
        <f>COUNTIF(PitRawData!$1:$1,DO_NOT_EDIT!A612)</f>
        <v>0</v>
      </c>
      <c r="C612" t="e">
        <f>MATCH(A612,PitRawData!$A$1:$AMK$1,0)</f>
        <v>#N/A</v>
      </c>
      <c r="D612" t="e">
        <f>INDEX(PitRawData!$A$1:$AMK$3,3,MATCH(DO_NOT_EDIT!A612,PitRawData!$A$1:$AMK$1,0))</f>
        <v>#N/A</v>
      </c>
      <c r="E612" t="s">
        <v>754</v>
      </c>
    </row>
    <row r="613" spans="1:5" x14ac:dyDescent="0.25">
      <c r="A613" t="s">
        <v>91</v>
      </c>
      <c r="B613">
        <f>COUNTIF(PitRawData!$1:$1,DO_NOT_EDIT!A613)</f>
        <v>0</v>
      </c>
      <c r="C613" t="e">
        <f>MATCH(A613,PitRawData!$A$1:$AMK$1,0)</f>
        <v>#N/A</v>
      </c>
      <c r="D613" t="e">
        <f>INDEX(PitRawData!$A$1:$AMK$3,3,MATCH(DO_NOT_EDIT!A613,PitRawData!$A$1:$AMK$1,0))</f>
        <v>#N/A</v>
      </c>
      <c r="E613" t="s">
        <v>754</v>
      </c>
    </row>
    <row r="614" spans="1:5" x14ac:dyDescent="0.25">
      <c r="A614" t="s">
        <v>90</v>
      </c>
      <c r="B614">
        <f>COUNTIF(PitRawData!$1:$1,DO_NOT_EDIT!A614)</f>
        <v>0</v>
      </c>
      <c r="C614" t="e">
        <f>MATCH(A614,PitRawData!$A$1:$AMK$1,0)</f>
        <v>#N/A</v>
      </c>
      <c r="D614" t="e">
        <f>INDEX(PitRawData!$A$1:$AMK$3,3,MATCH(DO_NOT_EDIT!A614,PitRawData!$A$1:$AMK$1,0))</f>
        <v>#N/A</v>
      </c>
      <c r="E614" t="s">
        <v>754</v>
      </c>
    </row>
    <row r="615" spans="1:5" x14ac:dyDescent="0.25">
      <c r="A615" t="s">
        <v>89</v>
      </c>
      <c r="B615">
        <f>COUNTIF(PitRawData!$1:$1,DO_NOT_EDIT!A615)</f>
        <v>0</v>
      </c>
      <c r="C615" t="e">
        <f>MATCH(A615,PitRawData!$A$1:$AMK$1,0)</f>
        <v>#N/A</v>
      </c>
      <c r="D615" t="e">
        <f>INDEX(PitRawData!$A$1:$AMK$3,3,MATCH(DO_NOT_EDIT!A615,PitRawData!$A$1:$AMK$1,0))</f>
        <v>#N/A</v>
      </c>
      <c r="E615" t="s">
        <v>754</v>
      </c>
    </row>
    <row r="616" spans="1:5" x14ac:dyDescent="0.25">
      <c r="A616" t="s">
        <v>88</v>
      </c>
      <c r="B616">
        <f>COUNTIF(PitRawData!$1:$1,DO_NOT_EDIT!A616)</f>
        <v>0</v>
      </c>
      <c r="C616" t="e">
        <f>MATCH(A616,PitRawData!$A$1:$AMK$1,0)</f>
        <v>#N/A</v>
      </c>
      <c r="D616" t="e">
        <f>INDEX(PitRawData!$A$1:$AMK$3,3,MATCH(DO_NOT_EDIT!A616,PitRawData!$A$1:$AMK$1,0))</f>
        <v>#N/A</v>
      </c>
      <c r="E616" t="s">
        <v>754</v>
      </c>
    </row>
    <row r="617" spans="1:5" x14ac:dyDescent="0.25">
      <c r="A617" t="s">
        <v>87</v>
      </c>
      <c r="B617">
        <f>COUNTIF(PitRawData!$1:$1,DO_NOT_EDIT!A617)</f>
        <v>0</v>
      </c>
      <c r="C617" t="e">
        <f>MATCH(A617,PitRawData!$A$1:$AMK$1,0)</f>
        <v>#N/A</v>
      </c>
      <c r="D617" t="e">
        <f>INDEX(PitRawData!$A$1:$AMK$3,3,MATCH(DO_NOT_EDIT!A617,PitRawData!$A$1:$AMK$1,0))</f>
        <v>#N/A</v>
      </c>
      <c r="E617" t="s">
        <v>754</v>
      </c>
    </row>
    <row r="618" spans="1:5" x14ac:dyDescent="0.25">
      <c r="A618" t="s">
        <v>86</v>
      </c>
      <c r="B618">
        <f>COUNTIF(PitRawData!$1:$1,DO_NOT_EDIT!A618)</f>
        <v>0</v>
      </c>
      <c r="C618" t="e">
        <f>MATCH(A618,PitRawData!$A$1:$AMK$1,0)</f>
        <v>#N/A</v>
      </c>
      <c r="D618" t="e">
        <f>INDEX(PitRawData!$A$1:$AMK$3,3,MATCH(DO_NOT_EDIT!A618,PitRawData!$A$1:$AMK$1,0))</f>
        <v>#N/A</v>
      </c>
      <c r="E618" t="s">
        <v>754</v>
      </c>
    </row>
    <row r="619" spans="1:5" x14ac:dyDescent="0.25">
      <c r="A619" t="s">
        <v>85</v>
      </c>
      <c r="B619">
        <f>COUNTIF(PitRawData!$1:$1,DO_NOT_EDIT!A619)</f>
        <v>0</v>
      </c>
      <c r="C619" t="e">
        <f>MATCH(A619,PitRawData!$A$1:$AMK$1,0)</f>
        <v>#N/A</v>
      </c>
      <c r="D619" t="e">
        <f>INDEX(PitRawData!$A$1:$AMK$3,3,MATCH(DO_NOT_EDIT!A619,PitRawData!$A$1:$AMK$1,0))</f>
        <v>#N/A</v>
      </c>
      <c r="E619" t="s">
        <v>754</v>
      </c>
    </row>
    <row r="620" spans="1:5" x14ac:dyDescent="0.25">
      <c r="A620" t="s">
        <v>84</v>
      </c>
      <c r="B620">
        <f>COUNTIF(PitRawData!$1:$1,DO_NOT_EDIT!A620)</f>
        <v>0</v>
      </c>
      <c r="C620" t="e">
        <f>MATCH(A620,PitRawData!$A$1:$AMK$1,0)</f>
        <v>#N/A</v>
      </c>
      <c r="D620" t="e">
        <f>INDEX(PitRawData!$A$1:$AMK$3,3,MATCH(DO_NOT_EDIT!A620,PitRawData!$A$1:$AMK$1,0))</f>
        <v>#N/A</v>
      </c>
      <c r="E620" t="s">
        <v>754</v>
      </c>
    </row>
    <row r="621" spans="1:5" x14ac:dyDescent="0.25">
      <c r="A621" t="s">
        <v>83</v>
      </c>
      <c r="B621">
        <f>COUNTIF(PitRawData!$1:$1,DO_NOT_EDIT!A621)</f>
        <v>0</v>
      </c>
      <c r="C621" t="e">
        <f>MATCH(A621,PitRawData!$A$1:$AMK$1,0)</f>
        <v>#N/A</v>
      </c>
      <c r="D621" t="e">
        <f>INDEX(PitRawData!$A$1:$AMK$3,3,MATCH(DO_NOT_EDIT!A621,PitRawData!$A$1:$AMK$1,0))</f>
        <v>#N/A</v>
      </c>
      <c r="E621" t="s">
        <v>754</v>
      </c>
    </row>
    <row r="622" spans="1:5" x14ac:dyDescent="0.25">
      <c r="A622" t="s">
        <v>82</v>
      </c>
      <c r="B622">
        <f>COUNTIF(PitRawData!$1:$1,DO_NOT_EDIT!A622)</f>
        <v>0</v>
      </c>
      <c r="C622" t="e">
        <f>MATCH(A622,PitRawData!$A$1:$AMK$1,0)</f>
        <v>#N/A</v>
      </c>
      <c r="D622" t="e">
        <f>INDEX(PitRawData!$A$1:$AMK$3,3,MATCH(DO_NOT_EDIT!A622,PitRawData!$A$1:$AMK$1,0))</f>
        <v>#N/A</v>
      </c>
      <c r="E622" t="s">
        <v>754</v>
      </c>
    </row>
    <row r="623" spans="1:5" x14ac:dyDescent="0.25">
      <c r="A623" t="s">
        <v>81</v>
      </c>
      <c r="B623">
        <f>COUNTIF(PitRawData!$1:$1,DO_NOT_EDIT!A623)</f>
        <v>0</v>
      </c>
      <c r="C623" t="e">
        <f>MATCH(A623,PitRawData!$A$1:$AMK$1,0)</f>
        <v>#N/A</v>
      </c>
      <c r="D623" t="e">
        <f>INDEX(PitRawData!$A$1:$AMK$3,3,MATCH(DO_NOT_EDIT!A623,PitRawData!$A$1:$AMK$1,0))</f>
        <v>#N/A</v>
      </c>
      <c r="E623" t="s">
        <v>754</v>
      </c>
    </row>
    <row r="624" spans="1:5" x14ac:dyDescent="0.25">
      <c r="A624" t="s">
        <v>80</v>
      </c>
      <c r="B624">
        <f>COUNTIF(PitRawData!$1:$1,DO_NOT_EDIT!A624)</f>
        <v>0</v>
      </c>
      <c r="C624" t="e">
        <f>MATCH(A624,PitRawData!$A$1:$AMK$1,0)</f>
        <v>#N/A</v>
      </c>
      <c r="D624" t="e">
        <f>INDEX(PitRawData!$A$1:$AMK$3,3,MATCH(DO_NOT_EDIT!A624,PitRawData!$A$1:$AMK$1,0))</f>
        <v>#N/A</v>
      </c>
      <c r="E624" t="s">
        <v>754</v>
      </c>
    </row>
    <row r="625" spans="1:5" x14ac:dyDescent="0.25">
      <c r="A625" t="s">
        <v>79</v>
      </c>
      <c r="B625">
        <f>COUNTIF(PitRawData!$1:$1,DO_NOT_EDIT!A625)</f>
        <v>0</v>
      </c>
      <c r="C625" t="e">
        <f>MATCH(A625,PitRawData!$A$1:$AMK$1,0)</f>
        <v>#N/A</v>
      </c>
      <c r="D625" t="e">
        <f>INDEX(PitRawData!$A$1:$AMK$3,3,MATCH(DO_NOT_EDIT!A625,PitRawData!$A$1:$AMK$1,0))</f>
        <v>#N/A</v>
      </c>
      <c r="E625" t="s">
        <v>754</v>
      </c>
    </row>
    <row r="626" spans="1:5" x14ac:dyDescent="0.25">
      <c r="A626" t="s">
        <v>78</v>
      </c>
      <c r="B626">
        <f>COUNTIF(PitRawData!$1:$1,DO_NOT_EDIT!A626)</f>
        <v>0</v>
      </c>
      <c r="C626" t="e">
        <f>MATCH(A626,PitRawData!$A$1:$AMK$1,0)</f>
        <v>#N/A</v>
      </c>
      <c r="D626" t="e">
        <f>INDEX(PitRawData!$A$1:$AMK$3,3,MATCH(DO_NOT_EDIT!A626,PitRawData!$A$1:$AMK$1,0))</f>
        <v>#N/A</v>
      </c>
      <c r="E626" t="s">
        <v>754</v>
      </c>
    </row>
    <row r="627" spans="1:5" x14ac:dyDescent="0.25">
      <c r="A627" t="s">
        <v>77</v>
      </c>
      <c r="B627">
        <f>COUNTIF(PitRawData!$1:$1,DO_NOT_EDIT!A627)</f>
        <v>0</v>
      </c>
      <c r="C627" t="e">
        <f>MATCH(A627,PitRawData!$A$1:$AMK$1,0)</f>
        <v>#N/A</v>
      </c>
      <c r="D627" t="e">
        <f>INDEX(PitRawData!$A$1:$AMK$3,3,MATCH(DO_NOT_EDIT!A627,PitRawData!$A$1:$AMK$1,0))</f>
        <v>#N/A</v>
      </c>
      <c r="E627" t="s">
        <v>754</v>
      </c>
    </row>
    <row r="628" spans="1:5" x14ac:dyDescent="0.25">
      <c r="A628" t="s">
        <v>76</v>
      </c>
      <c r="B628">
        <f>COUNTIF(PitRawData!$1:$1,DO_NOT_EDIT!A628)</f>
        <v>0</v>
      </c>
      <c r="C628" t="e">
        <f>MATCH(A628,PitRawData!$A$1:$AMK$1,0)</f>
        <v>#N/A</v>
      </c>
      <c r="D628" t="e">
        <f>INDEX(PitRawData!$A$1:$AMK$3,3,MATCH(DO_NOT_EDIT!A628,PitRawData!$A$1:$AMK$1,0))</f>
        <v>#N/A</v>
      </c>
      <c r="E628" t="s">
        <v>754</v>
      </c>
    </row>
    <row r="629" spans="1:5" x14ac:dyDescent="0.25">
      <c r="A629" t="s">
        <v>75</v>
      </c>
      <c r="B629">
        <f>COUNTIF(PitRawData!$1:$1,DO_NOT_EDIT!A629)</f>
        <v>0</v>
      </c>
      <c r="C629" t="e">
        <f>MATCH(A629,PitRawData!$A$1:$AMK$1,0)</f>
        <v>#N/A</v>
      </c>
      <c r="D629" t="e">
        <f>INDEX(PitRawData!$A$1:$AMK$3,3,MATCH(DO_NOT_EDIT!A629,PitRawData!$A$1:$AMK$1,0))</f>
        <v>#N/A</v>
      </c>
      <c r="E629" t="s">
        <v>754</v>
      </c>
    </row>
    <row r="630" spans="1:5" x14ac:dyDescent="0.25">
      <c r="A630" t="s">
        <v>74</v>
      </c>
      <c r="B630">
        <f>COUNTIF(PitRawData!$1:$1,DO_NOT_EDIT!A630)</f>
        <v>0</v>
      </c>
      <c r="C630" t="e">
        <f>MATCH(A630,PitRawData!$A$1:$AMK$1,0)</f>
        <v>#N/A</v>
      </c>
      <c r="D630" t="e">
        <f>INDEX(PitRawData!$A$1:$AMK$3,3,MATCH(DO_NOT_EDIT!A630,PitRawData!$A$1:$AMK$1,0))</f>
        <v>#N/A</v>
      </c>
      <c r="E630" t="s">
        <v>754</v>
      </c>
    </row>
    <row r="631" spans="1:5" x14ac:dyDescent="0.25">
      <c r="A631" t="s">
        <v>73</v>
      </c>
      <c r="B631">
        <f>COUNTIF(PitRawData!$1:$1,DO_NOT_EDIT!A631)</f>
        <v>0</v>
      </c>
      <c r="C631" t="e">
        <f>MATCH(A631,PitRawData!$A$1:$AMK$1,0)</f>
        <v>#N/A</v>
      </c>
      <c r="D631" t="e">
        <f>INDEX(PitRawData!$A$1:$AMK$3,3,MATCH(DO_NOT_EDIT!A631,PitRawData!$A$1:$AMK$1,0))</f>
        <v>#N/A</v>
      </c>
      <c r="E631" t="s">
        <v>754</v>
      </c>
    </row>
    <row r="632" spans="1:5" x14ac:dyDescent="0.25">
      <c r="A632" t="s">
        <v>72</v>
      </c>
      <c r="B632">
        <f>COUNTIF(PitRawData!$1:$1,DO_NOT_EDIT!A632)</f>
        <v>0</v>
      </c>
      <c r="C632" t="e">
        <f>MATCH(A632,PitRawData!$A$1:$AMK$1,0)</f>
        <v>#N/A</v>
      </c>
      <c r="D632" t="e">
        <f>INDEX(PitRawData!$A$1:$AMK$3,3,MATCH(DO_NOT_EDIT!A632,PitRawData!$A$1:$AMK$1,0))</f>
        <v>#N/A</v>
      </c>
      <c r="E632" t="s">
        <v>754</v>
      </c>
    </row>
    <row r="633" spans="1:5" x14ac:dyDescent="0.25">
      <c r="A633" t="s">
        <v>71</v>
      </c>
      <c r="B633">
        <f>COUNTIF(PitRawData!$1:$1,DO_NOT_EDIT!A633)</f>
        <v>0</v>
      </c>
      <c r="C633" t="e">
        <f>MATCH(A633,PitRawData!$A$1:$AMK$1,0)</f>
        <v>#N/A</v>
      </c>
      <c r="D633" t="e">
        <f>INDEX(PitRawData!$A$1:$AMK$3,3,MATCH(DO_NOT_EDIT!A633,PitRawData!$A$1:$AMK$1,0))</f>
        <v>#N/A</v>
      </c>
      <c r="E633" t="s">
        <v>754</v>
      </c>
    </row>
    <row r="634" spans="1:5" x14ac:dyDescent="0.25">
      <c r="A634" t="s">
        <v>70</v>
      </c>
      <c r="B634">
        <f>COUNTIF(PitRawData!$1:$1,DO_NOT_EDIT!A634)</f>
        <v>0</v>
      </c>
      <c r="C634" t="e">
        <f>MATCH(A634,PitRawData!$A$1:$AMK$1,0)</f>
        <v>#N/A</v>
      </c>
      <c r="D634" t="e">
        <f>INDEX(PitRawData!$A$1:$AMK$3,3,MATCH(DO_NOT_EDIT!A634,PitRawData!$A$1:$AMK$1,0))</f>
        <v>#N/A</v>
      </c>
      <c r="E634" t="s">
        <v>754</v>
      </c>
    </row>
    <row r="635" spans="1:5" x14ac:dyDescent="0.25">
      <c r="A635" t="s">
        <v>69</v>
      </c>
      <c r="B635">
        <f>COUNTIF(PitRawData!$1:$1,DO_NOT_EDIT!A635)</f>
        <v>0</v>
      </c>
      <c r="C635" t="e">
        <f>MATCH(A635,PitRawData!$A$1:$AMK$1,0)</f>
        <v>#N/A</v>
      </c>
      <c r="D635" t="e">
        <f>INDEX(PitRawData!$A$1:$AMK$3,3,MATCH(DO_NOT_EDIT!A635,PitRawData!$A$1:$AMK$1,0))</f>
        <v>#N/A</v>
      </c>
      <c r="E635" t="s">
        <v>754</v>
      </c>
    </row>
    <row r="636" spans="1:5" x14ac:dyDescent="0.25">
      <c r="A636" t="s">
        <v>68</v>
      </c>
      <c r="B636">
        <f>COUNTIF(PitRawData!$1:$1,DO_NOT_EDIT!A636)</f>
        <v>0</v>
      </c>
      <c r="C636" t="e">
        <f>MATCH(A636,PitRawData!$A$1:$AMK$1,0)</f>
        <v>#N/A</v>
      </c>
      <c r="D636" t="e">
        <f>INDEX(PitRawData!$A$1:$AMK$3,3,MATCH(DO_NOT_EDIT!A636,PitRawData!$A$1:$AMK$1,0))</f>
        <v>#N/A</v>
      </c>
      <c r="E636" t="s">
        <v>754</v>
      </c>
    </row>
    <row r="637" spans="1:5" x14ac:dyDescent="0.25">
      <c r="A637" t="s">
        <v>67</v>
      </c>
      <c r="B637">
        <f>COUNTIF(PitRawData!$1:$1,DO_NOT_EDIT!A637)</f>
        <v>0</v>
      </c>
      <c r="C637" t="e">
        <f>MATCH(A637,PitRawData!$A$1:$AMK$1,0)</f>
        <v>#N/A</v>
      </c>
      <c r="D637" t="e">
        <f>INDEX(PitRawData!$A$1:$AMK$3,3,MATCH(DO_NOT_EDIT!A637,PitRawData!$A$1:$AMK$1,0))</f>
        <v>#N/A</v>
      </c>
      <c r="E637" t="s">
        <v>754</v>
      </c>
    </row>
    <row r="638" spans="1:5" x14ac:dyDescent="0.25">
      <c r="A638" t="s">
        <v>66</v>
      </c>
      <c r="B638">
        <f>COUNTIF(PitRawData!$1:$1,DO_NOT_EDIT!A638)</f>
        <v>0</v>
      </c>
      <c r="C638" t="e">
        <f>MATCH(A638,PitRawData!$A$1:$AMK$1,0)</f>
        <v>#N/A</v>
      </c>
      <c r="D638" t="e">
        <f>INDEX(PitRawData!$A$1:$AMK$3,3,MATCH(DO_NOT_EDIT!A638,PitRawData!$A$1:$AMK$1,0))</f>
        <v>#N/A</v>
      </c>
      <c r="E638" t="s">
        <v>754</v>
      </c>
    </row>
    <row r="639" spans="1:5" x14ac:dyDescent="0.25">
      <c r="A639" t="s">
        <v>65</v>
      </c>
      <c r="B639">
        <f>COUNTIF(PitRawData!$1:$1,DO_NOT_EDIT!A639)</f>
        <v>0</v>
      </c>
      <c r="C639" t="e">
        <f>MATCH(A639,PitRawData!$A$1:$AMK$1,0)</f>
        <v>#N/A</v>
      </c>
      <c r="D639" t="e">
        <f>INDEX(PitRawData!$A$1:$AMK$3,3,MATCH(DO_NOT_EDIT!A639,PitRawData!$A$1:$AMK$1,0))</f>
        <v>#N/A</v>
      </c>
      <c r="E639" t="s">
        <v>754</v>
      </c>
    </row>
    <row r="640" spans="1:5" x14ac:dyDescent="0.25">
      <c r="A640" t="s">
        <v>64</v>
      </c>
      <c r="B640">
        <f>COUNTIF(PitRawData!$1:$1,DO_NOT_EDIT!A640)</f>
        <v>0</v>
      </c>
      <c r="C640" t="e">
        <f>MATCH(A640,PitRawData!$A$1:$AMK$1,0)</f>
        <v>#N/A</v>
      </c>
      <c r="D640" t="e">
        <f>INDEX(PitRawData!$A$1:$AMK$3,3,MATCH(DO_NOT_EDIT!A640,PitRawData!$A$1:$AMK$1,0))</f>
        <v>#N/A</v>
      </c>
      <c r="E640" t="s">
        <v>754</v>
      </c>
    </row>
    <row r="641" spans="1:5" x14ac:dyDescent="0.25">
      <c r="A641" t="s">
        <v>63</v>
      </c>
      <c r="B641">
        <f>COUNTIF(PitRawData!$1:$1,DO_NOT_EDIT!A641)</f>
        <v>0</v>
      </c>
      <c r="C641" t="e">
        <f>MATCH(A641,PitRawData!$A$1:$AMK$1,0)</f>
        <v>#N/A</v>
      </c>
      <c r="D641" t="e">
        <f>INDEX(PitRawData!$A$1:$AMK$3,3,MATCH(DO_NOT_EDIT!A641,PitRawData!$A$1:$AMK$1,0))</f>
        <v>#N/A</v>
      </c>
      <c r="E641" t="s">
        <v>754</v>
      </c>
    </row>
    <row r="642" spans="1:5" x14ac:dyDescent="0.25">
      <c r="A642" t="s">
        <v>62</v>
      </c>
      <c r="B642">
        <f>COUNTIF(PitRawData!$1:$1,DO_NOT_EDIT!A642)</f>
        <v>0</v>
      </c>
      <c r="C642" t="e">
        <f>MATCH(A642,PitRawData!$A$1:$AMK$1,0)</f>
        <v>#N/A</v>
      </c>
      <c r="D642" t="e">
        <f>INDEX(PitRawData!$A$1:$AMK$3,3,MATCH(DO_NOT_EDIT!A642,PitRawData!$A$1:$AMK$1,0))</f>
        <v>#N/A</v>
      </c>
      <c r="E642" t="s">
        <v>754</v>
      </c>
    </row>
    <row r="643" spans="1:5" x14ac:dyDescent="0.25">
      <c r="A643" t="s">
        <v>61</v>
      </c>
      <c r="B643">
        <f>COUNTIF(PitRawData!$1:$1,DO_NOT_EDIT!A643)</f>
        <v>0</v>
      </c>
      <c r="C643" t="e">
        <f>MATCH(A643,PitRawData!$A$1:$AMK$1,0)</f>
        <v>#N/A</v>
      </c>
      <c r="D643" t="e">
        <f>INDEX(PitRawData!$A$1:$AMK$3,3,MATCH(DO_NOT_EDIT!A643,PitRawData!$A$1:$AMK$1,0))</f>
        <v>#N/A</v>
      </c>
      <c r="E643" t="s">
        <v>754</v>
      </c>
    </row>
    <row r="644" spans="1:5" x14ac:dyDescent="0.25">
      <c r="A644" t="s">
        <v>60</v>
      </c>
      <c r="B644">
        <f>COUNTIF(PitRawData!$1:$1,DO_NOT_EDIT!A644)</f>
        <v>0</v>
      </c>
      <c r="C644" t="e">
        <f>MATCH(A644,PitRawData!$A$1:$AMK$1,0)</f>
        <v>#N/A</v>
      </c>
      <c r="D644" t="e">
        <f>INDEX(PitRawData!$A$1:$AMK$3,3,MATCH(DO_NOT_EDIT!A644,PitRawData!$A$1:$AMK$1,0))</f>
        <v>#N/A</v>
      </c>
      <c r="E644" t="s">
        <v>754</v>
      </c>
    </row>
    <row r="645" spans="1:5" x14ac:dyDescent="0.25">
      <c r="A645" t="s">
        <v>59</v>
      </c>
      <c r="B645">
        <f>COUNTIF(PitRawData!$1:$1,DO_NOT_EDIT!A645)</f>
        <v>0</v>
      </c>
      <c r="C645" t="e">
        <f>MATCH(A645,PitRawData!$A$1:$AMK$1,0)</f>
        <v>#N/A</v>
      </c>
      <c r="D645" t="e">
        <f>INDEX(PitRawData!$A$1:$AMK$3,3,MATCH(DO_NOT_EDIT!A645,PitRawData!$A$1:$AMK$1,0))</f>
        <v>#N/A</v>
      </c>
      <c r="E645" t="s">
        <v>754</v>
      </c>
    </row>
    <row r="646" spans="1:5" x14ac:dyDescent="0.25">
      <c r="A646" t="s">
        <v>58</v>
      </c>
      <c r="B646">
        <f>COUNTIF(PitRawData!$1:$1,DO_NOT_EDIT!A646)</f>
        <v>0</v>
      </c>
      <c r="C646" t="e">
        <f>MATCH(A646,PitRawData!$A$1:$AMK$1,0)</f>
        <v>#N/A</v>
      </c>
      <c r="D646" t="e">
        <f>INDEX(PitRawData!$A$1:$AMK$3,3,MATCH(DO_NOT_EDIT!A646,PitRawData!$A$1:$AMK$1,0))</f>
        <v>#N/A</v>
      </c>
      <c r="E646" t="s">
        <v>754</v>
      </c>
    </row>
    <row r="647" spans="1:5" x14ac:dyDescent="0.25">
      <c r="A647" t="s">
        <v>57</v>
      </c>
      <c r="B647">
        <f>COUNTIF(PitRawData!$1:$1,DO_NOT_EDIT!A647)</f>
        <v>0</v>
      </c>
      <c r="C647" t="e">
        <f>MATCH(A647,PitRawData!$A$1:$AMK$1,0)</f>
        <v>#N/A</v>
      </c>
      <c r="D647" t="e">
        <f>INDEX(PitRawData!$A$1:$AMK$3,3,MATCH(DO_NOT_EDIT!A647,PitRawData!$A$1:$AMK$1,0))</f>
        <v>#N/A</v>
      </c>
      <c r="E647" t="s">
        <v>754</v>
      </c>
    </row>
    <row r="648" spans="1:5" x14ac:dyDescent="0.25">
      <c r="A648" t="s">
        <v>56</v>
      </c>
      <c r="B648">
        <f>COUNTIF(PitRawData!$1:$1,DO_NOT_EDIT!A648)</f>
        <v>0</v>
      </c>
      <c r="C648" t="e">
        <f>MATCH(A648,PitRawData!$A$1:$AMK$1,0)</f>
        <v>#N/A</v>
      </c>
      <c r="D648" t="e">
        <f>INDEX(PitRawData!$A$1:$AMK$3,3,MATCH(DO_NOT_EDIT!A648,PitRawData!$A$1:$AMK$1,0))</f>
        <v>#N/A</v>
      </c>
      <c r="E648" t="s">
        <v>754</v>
      </c>
    </row>
    <row r="649" spans="1:5" x14ac:dyDescent="0.25">
      <c r="A649" t="s">
        <v>55</v>
      </c>
      <c r="B649">
        <f>COUNTIF(PitRawData!$1:$1,DO_NOT_EDIT!A649)</f>
        <v>0</v>
      </c>
      <c r="C649" t="e">
        <f>MATCH(A649,PitRawData!$A$1:$AMK$1,0)</f>
        <v>#N/A</v>
      </c>
      <c r="D649" t="e">
        <f>INDEX(PitRawData!$A$1:$AMK$3,3,MATCH(DO_NOT_EDIT!A649,PitRawData!$A$1:$AMK$1,0))</f>
        <v>#N/A</v>
      </c>
      <c r="E649" t="s">
        <v>754</v>
      </c>
    </row>
    <row r="650" spans="1:5" x14ac:dyDescent="0.25">
      <c r="A650" t="s">
        <v>54</v>
      </c>
      <c r="B650">
        <f>COUNTIF(PitRawData!$1:$1,DO_NOT_EDIT!A650)</f>
        <v>0</v>
      </c>
      <c r="C650" t="e">
        <f>MATCH(A650,PitRawData!$A$1:$AMK$1,0)</f>
        <v>#N/A</v>
      </c>
      <c r="D650" t="e">
        <f>INDEX(PitRawData!$A$1:$AMK$3,3,MATCH(DO_NOT_EDIT!A650,PitRawData!$A$1:$AMK$1,0))</f>
        <v>#N/A</v>
      </c>
      <c r="E650" t="s">
        <v>754</v>
      </c>
    </row>
    <row r="651" spans="1:5" x14ac:dyDescent="0.25">
      <c r="A651" t="s">
        <v>53</v>
      </c>
      <c r="B651">
        <f>COUNTIF(PitRawData!$1:$1,DO_NOT_EDIT!A651)</f>
        <v>0</v>
      </c>
      <c r="C651" t="e">
        <f>MATCH(A651,PitRawData!$A$1:$AMK$1,0)</f>
        <v>#N/A</v>
      </c>
      <c r="D651" t="e">
        <f>INDEX(PitRawData!$A$1:$AMK$3,3,MATCH(DO_NOT_EDIT!A651,PitRawData!$A$1:$AMK$1,0))</f>
        <v>#N/A</v>
      </c>
      <c r="E651" t="s">
        <v>754</v>
      </c>
    </row>
    <row r="652" spans="1:5" x14ac:dyDescent="0.25">
      <c r="A652" t="s">
        <v>52</v>
      </c>
      <c r="B652">
        <f>COUNTIF(PitRawData!$1:$1,DO_NOT_EDIT!A652)</f>
        <v>0</v>
      </c>
      <c r="C652" t="e">
        <f>MATCH(A652,PitRawData!$A$1:$AMK$1,0)</f>
        <v>#N/A</v>
      </c>
      <c r="D652" t="e">
        <f>INDEX(PitRawData!$A$1:$AMK$3,3,MATCH(DO_NOT_EDIT!A652,PitRawData!$A$1:$AMK$1,0))</f>
        <v>#N/A</v>
      </c>
      <c r="E652" t="s">
        <v>754</v>
      </c>
    </row>
    <row r="653" spans="1:5" x14ac:dyDescent="0.25">
      <c r="A653" t="s">
        <v>51</v>
      </c>
      <c r="B653">
        <f>COUNTIF(PitRawData!$1:$1,DO_NOT_EDIT!A653)</f>
        <v>0</v>
      </c>
      <c r="C653" t="e">
        <f>MATCH(A653,PitRawData!$A$1:$AMK$1,0)</f>
        <v>#N/A</v>
      </c>
      <c r="D653" t="e">
        <f>INDEX(PitRawData!$A$1:$AMK$3,3,MATCH(DO_NOT_EDIT!A653,PitRawData!$A$1:$AMK$1,0))</f>
        <v>#N/A</v>
      </c>
      <c r="E653" t="s">
        <v>754</v>
      </c>
    </row>
    <row r="654" spans="1:5" x14ac:dyDescent="0.25">
      <c r="A654" t="s">
        <v>50</v>
      </c>
      <c r="B654">
        <f>COUNTIF(PitRawData!$1:$1,DO_NOT_EDIT!A654)</f>
        <v>0</v>
      </c>
      <c r="C654" t="e">
        <f>MATCH(A654,PitRawData!$A$1:$AMK$1,0)</f>
        <v>#N/A</v>
      </c>
      <c r="D654" t="e">
        <f>INDEX(PitRawData!$A$1:$AMK$3,3,MATCH(DO_NOT_EDIT!A654,PitRawData!$A$1:$AMK$1,0))</f>
        <v>#N/A</v>
      </c>
      <c r="E654" t="s">
        <v>754</v>
      </c>
    </row>
    <row r="655" spans="1:5" x14ac:dyDescent="0.25">
      <c r="A655" t="s">
        <v>49</v>
      </c>
      <c r="B655">
        <f>COUNTIF(PitRawData!$1:$1,DO_NOT_EDIT!A655)</f>
        <v>0</v>
      </c>
      <c r="C655" t="e">
        <f>MATCH(A655,PitRawData!$A$1:$AMK$1,0)</f>
        <v>#N/A</v>
      </c>
      <c r="D655" t="e">
        <f>INDEX(PitRawData!$A$1:$AMK$3,3,MATCH(DO_NOT_EDIT!A655,PitRawData!$A$1:$AMK$1,0))</f>
        <v>#N/A</v>
      </c>
      <c r="E655" t="s">
        <v>754</v>
      </c>
    </row>
    <row r="656" spans="1:5" x14ac:dyDescent="0.25">
      <c r="A656" t="s">
        <v>48</v>
      </c>
      <c r="B656">
        <f>COUNTIF(PitRawData!$1:$1,DO_NOT_EDIT!A656)</f>
        <v>0</v>
      </c>
      <c r="C656" t="e">
        <f>MATCH(A656,PitRawData!$A$1:$AMK$1,0)</f>
        <v>#N/A</v>
      </c>
      <c r="D656" t="e">
        <f>INDEX(PitRawData!$A$1:$AMK$3,3,MATCH(DO_NOT_EDIT!A656,PitRawData!$A$1:$AMK$1,0))</f>
        <v>#N/A</v>
      </c>
      <c r="E656" t="s">
        <v>754</v>
      </c>
    </row>
    <row r="657" spans="1:5" x14ac:dyDescent="0.25">
      <c r="A657" t="s">
        <v>47</v>
      </c>
      <c r="B657">
        <f>COUNTIF(PitRawData!$1:$1,DO_NOT_EDIT!A657)</f>
        <v>0</v>
      </c>
      <c r="C657" t="e">
        <f>MATCH(A657,PitRawData!$A$1:$AMK$1,0)</f>
        <v>#N/A</v>
      </c>
      <c r="D657" t="e">
        <f>INDEX(PitRawData!$A$1:$AMK$3,3,MATCH(DO_NOT_EDIT!A657,PitRawData!$A$1:$AMK$1,0))</f>
        <v>#N/A</v>
      </c>
      <c r="E657" t="s">
        <v>754</v>
      </c>
    </row>
    <row r="658" spans="1:5" x14ac:dyDescent="0.25">
      <c r="A658" t="s">
        <v>46</v>
      </c>
      <c r="B658">
        <f>COUNTIF(PitRawData!$1:$1,DO_NOT_EDIT!A658)</f>
        <v>0</v>
      </c>
      <c r="C658" t="e">
        <f>MATCH(A658,PitRawData!$A$1:$AMK$1,0)</f>
        <v>#N/A</v>
      </c>
      <c r="D658" t="e">
        <f>INDEX(PitRawData!$A$1:$AMK$3,3,MATCH(DO_NOT_EDIT!A658,PitRawData!$A$1:$AMK$1,0))</f>
        <v>#N/A</v>
      </c>
      <c r="E658" t="s">
        <v>754</v>
      </c>
    </row>
    <row r="659" spans="1:5" x14ac:dyDescent="0.25">
      <c r="A659" t="s">
        <v>45</v>
      </c>
      <c r="B659">
        <f>COUNTIF(PitRawData!$1:$1,DO_NOT_EDIT!A659)</f>
        <v>0</v>
      </c>
      <c r="C659" t="e">
        <f>MATCH(A659,PitRawData!$A$1:$AMK$1,0)</f>
        <v>#N/A</v>
      </c>
      <c r="D659" t="e">
        <f>INDEX(PitRawData!$A$1:$AMK$3,3,MATCH(DO_NOT_EDIT!A659,PitRawData!$A$1:$AMK$1,0))</f>
        <v>#N/A</v>
      </c>
      <c r="E659" t="s">
        <v>754</v>
      </c>
    </row>
    <row r="660" spans="1:5" x14ac:dyDescent="0.25">
      <c r="A660" t="s">
        <v>44</v>
      </c>
      <c r="B660">
        <f>COUNTIF(PitRawData!$1:$1,DO_NOT_EDIT!A660)</f>
        <v>0</v>
      </c>
      <c r="C660" t="e">
        <f>MATCH(A660,PitRawData!$A$1:$AMK$1,0)</f>
        <v>#N/A</v>
      </c>
      <c r="D660" t="e">
        <f>INDEX(PitRawData!$A$1:$AMK$3,3,MATCH(DO_NOT_EDIT!A660,PitRawData!$A$1:$AMK$1,0))</f>
        <v>#N/A</v>
      </c>
      <c r="E660" t="s">
        <v>754</v>
      </c>
    </row>
    <row r="661" spans="1:5" x14ac:dyDescent="0.25">
      <c r="A661" t="s">
        <v>43</v>
      </c>
      <c r="B661">
        <f>COUNTIF(PitRawData!$1:$1,DO_NOT_EDIT!A661)</f>
        <v>0</v>
      </c>
      <c r="C661" t="e">
        <f>MATCH(A661,PitRawData!$A$1:$AMK$1,0)</f>
        <v>#N/A</v>
      </c>
      <c r="D661" t="e">
        <f>INDEX(PitRawData!$A$1:$AMK$3,3,MATCH(DO_NOT_EDIT!A661,PitRawData!$A$1:$AMK$1,0))</f>
        <v>#N/A</v>
      </c>
      <c r="E661" t="s">
        <v>754</v>
      </c>
    </row>
    <row r="662" spans="1:5" x14ac:dyDescent="0.25">
      <c r="A662" t="s">
        <v>42</v>
      </c>
      <c r="B662">
        <f>COUNTIF(PitRawData!$1:$1,DO_NOT_EDIT!A662)</f>
        <v>0</v>
      </c>
      <c r="C662" t="e">
        <f>MATCH(A662,PitRawData!$A$1:$AMK$1,0)</f>
        <v>#N/A</v>
      </c>
      <c r="D662" t="e">
        <f>INDEX(PitRawData!$A$1:$AMK$3,3,MATCH(DO_NOT_EDIT!A662,PitRawData!$A$1:$AMK$1,0))</f>
        <v>#N/A</v>
      </c>
      <c r="E662" t="s">
        <v>754</v>
      </c>
    </row>
    <row r="663" spans="1:5" x14ac:dyDescent="0.25">
      <c r="A663" t="s">
        <v>41</v>
      </c>
      <c r="B663">
        <f>COUNTIF(PitRawData!$1:$1,DO_NOT_EDIT!A663)</f>
        <v>0</v>
      </c>
      <c r="C663" t="e">
        <f>MATCH(A663,PitRawData!$A$1:$AMK$1,0)</f>
        <v>#N/A</v>
      </c>
      <c r="D663" t="e">
        <f>INDEX(PitRawData!$A$1:$AMK$3,3,MATCH(DO_NOT_EDIT!A663,PitRawData!$A$1:$AMK$1,0))</f>
        <v>#N/A</v>
      </c>
      <c r="E663" t="s">
        <v>754</v>
      </c>
    </row>
    <row r="664" spans="1:5" x14ac:dyDescent="0.25">
      <c r="A664" t="s">
        <v>40</v>
      </c>
      <c r="B664">
        <f>COUNTIF(PitRawData!$1:$1,DO_NOT_EDIT!A664)</f>
        <v>0</v>
      </c>
      <c r="C664" t="e">
        <f>MATCH(A664,PitRawData!$A$1:$AMK$1,0)</f>
        <v>#N/A</v>
      </c>
      <c r="D664" t="e">
        <f>INDEX(PitRawData!$A$1:$AMK$3,3,MATCH(DO_NOT_EDIT!A664,PitRawData!$A$1:$AMK$1,0))</f>
        <v>#N/A</v>
      </c>
      <c r="E664" t="s">
        <v>754</v>
      </c>
    </row>
    <row r="665" spans="1:5" x14ac:dyDescent="0.25">
      <c r="A665" t="s">
        <v>39</v>
      </c>
      <c r="B665">
        <f>COUNTIF(PitRawData!$1:$1,DO_NOT_EDIT!A665)</f>
        <v>0</v>
      </c>
      <c r="C665" t="e">
        <f>MATCH(A665,PitRawData!$A$1:$AMK$1,0)</f>
        <v>#N/A</v>
      </c>
      <c r="D665" t="e">
        <f>INDEX(PitRawData!$A$1:$AMK$3,3,MATCH(DO_NOT_EDIT!A665,PitRawData!$A$1:$AMK$1,0))</f>
        <v>#N/A</v>
      </c>
      <c r="E665" t="s">
        <v>754</v>
      </c>
    </row>
    <row r="666" spans="1:5" x14ac:dyDescent="0.25">
      <c r="A666" t="s">
        <v>38</v>
      </c>
      <c r="B666">
        <f>COUNTIF(PitRawData!$1:$1,DO_NOT_EDIT!A666)</f>
        <v>0</v>
      </c>
      <c r="C666" t="e">
        <f>MATCH(A666,PitRawData!$A$1:$AMK$1,0)</f>
        <v>#N/A</v>
      </c>
      <c r="D666" t="e">
        <f>INDEX(PitRawData!$A$1:$AMK$3,3,MATCH(DO_NOT_EDIT!A666,PitRawData!$A$1:$AMK$1,0))</f>
        <v>#N/A</v>
      </c>
      <c r="E666" t="s">
        <v>754</v>
      </c>
    </row>
    <row r="667" spans="1:5" x14ac:dyDescent="0.25">
      <c r="A667" t="s">
        <v>37</v>
      </c>
      <c r="B667">
        <f>COUNTIF(PitRawData!$1:$1,DO_NOT_EDIT!A667)</f>
        <v>0</v>
      </c>
      <c r="C667" t="e">
        <f>MATCH(A667,PitRawData!$A$1:$AMK$1,0)</f>
        <v>#N/A</v>
      </c>
      <c r="D667" t="e">
        <f>INDEX(PitRawData!$A$1:$AMK$3,3,MATCH(DO_NOT_EDIT!A667,PitRawData!$A$1:$AMK$1,0))</f>
        <v>#N/A</v>
      </c>
      <c r="E667" t="s">
        <v>754</v>
      </c>
    </row>
    <row r="668" spans="1:5" x14ac:dyDescent="0.25">
      <c r="A668" t="s">
        <v>36</v>
      </c>
      <c r="B668">
        <f>COUNTIF(PitRawData!$1:$1,DO_NOT_EDIT!A668)</f>
        <v>0</v>
      </c>
      <c r="C668" t="e">
        <f>MATCH(A668,PitRawData!$A$1:$AMK$1,0)</f>
        <v>#N/A</v>
      </c>
      <c r="D668" t="e">
        <f>INDEX(PitRawData!$A$1:$AMK$3,3,MATCH(DO_NOT_EDIT!A668,PitRawData!$A$1:$AMK$1,0))</f>
        <v>#N/A</v>
      </c>
      <c r="E668" t="s">
        <v>754</v>
      </c>
    </row>
    <row r="669" spans="1:5" x14ac:dyDescent="0.25">
      <c r="A669" t="s">
        <v>35</v>
      </c>
      <c r="B669">
        <f>COUNTIF(PitRawData!$1:$1,DO_NOT_EDIT!A669)</f>
        <v>0</v>
      </c>
      <c r="C669" t="e">
        <f>MATCH(A669,PitRawData!$A$1:$AMK$1,0)</f>
        <v>#N/A</v>
      </c>
      <c r="D669" t="e">
        <f>INDEX(PitRawData!$A$1:$AMK$3,3,MATCH(DO_NOT_EDIT!A669,PitRawData!$A$1:$AMK$1,0))</f>
        <v>#N/A</v>
      </c>
      <c r="E669" t="s">
        <v>754</v>
      </c>
    </row>
    <row r="670" spans="1:5" x14ac:dyDescent="0.25">
      <c r="A670" t="s">
        <v>34</v>
      </c>
      <c r="B670">
        <f>COUNTIF(PitRawData!$1:$1,DO_NOT_EDIT!A670)</f>
        <v>0</v>
      </c>
      <c r="C670" t="e">
        <f>MATCH(A670,PitRawData!$A$1:$AMK$1,0)</f>
        <v>#N/A</v>
      </c>
      <c r="D670" t="e">
        <f>INDEX(PitRawData!$A$1:$AMK$3,3,MATCH(DO_NOT_EDIT!A670,PitRawData!$A$1:$AMK$1,0))</f>
        <v>#N/A</v>
      </c>
      <c r="E670" t="s">
        <v>754</v>
      </c>
    </row>
    <row r="671" spans="1:5" x14ac:dyDescent="0.25">
      <c r="A671" t="s">
        <v>33</v>
      </c>
      <c r="B671">
        <f>COUNTIF(PitRawData!$1:$1,DO_NOT_EDIT!A671)</f>
        <v>0</v>
      </c>
      <c r="C671" t="e">
        <f>MATCH(A671,PitRawData!$A$1:$AMK$1,0)</f>
        <v>#N/A</v>
      </c>
      <c r="D671" t="e">
        <f>INDEX(PitRawData!$A$1:$AMK$3,3,MATCH(DO_NOT_EDIT!A671,PitRawData!$A$1:$AMK$1,0))</f>
        <v>#N/A</v>
      </c>
      <c r="E671" t="s">
        <v>754</v>
      </c>
    </row>
  </sheetData>
  <sheetProtection algorithmName="SHA-512" hashValue="b1jT09sYn57REWNnz5As5y1ZPqCvim0xOf8+yFA005/zA0ecQHBcL2r+nyPsHWdU2OJkupQx0I6BCyV3tlzdhg==" saltValue="L8wsTmfLGcUhoSOXKhUDPQ==" spinCount="100000" sheet="1" objects="1" scenarios="1"/>
  <conditionalFormatting sqref="B7:B9">
    <cfRule type="cellIs" dxfId="5" priority="1" operator="equal">
      <formula>FALSE</formula>
    </cfRule>
    <cfRule type="cellIs" dxfId="4" priority="2" operator="equal">
      <formula>TRUE</formula>
    </cfRule>
  </conditionalFormatting>
  <conditionalFormatting sqref="B16">
    <cfRule type="cellIs" dxfId="3" priority="6" operator="equal">
      <formula>FALSE</formula>
    </cfRule>
    <cfRule type="cellIs" dxfId="2" priority="7" operator="equal">
      <formula>TRUE</formula>
    </cfRule>
  </conditionalFormatting>
  <conditionalFormatting sqref="B19">
    <cfRule type="cellIs" dxfId="1" priority="4" operator="equal">
      <formula>FALSE</formula>
    </cfRule>
    <cfRule type="cellIs" dxfId="0" priority="5" operator="equal">
      <formula>TRUE</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cfad6c9-0d8a-4f08-b363-fe79249bc20d">
      <Terms xmlns="http://schemas.microsoft.com/office/infopath/2007/PartnerControls"/>
    </lcf76f155ced4ddcb4097134ff3c332f>
    <TaxCatchAll xmlns="e422c799-4dbb-4704-9bc4-2b14a9e15e0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FD19B331B6154F98DDF9D6E590EC91" ma:contentTypeVersion="17" ma:contentTypeDescription="Create a new document." ma:contentTypeScope="" ma:versionID="c39676000deda965a711f101ed4f2b19">
  <xsd:schema xmlns:xsd="http://www.w3.org/2001/XMLSchema" xmlns:xs="http://www.w3.org/2001/XMLSchema" xmlns:p="http://schemas.microsoft.com/office/2006/metadata/properties" xmlns:ns2="6cfad6c9-0d8a-4f08-b363-fe79249bc20d" xmlns:ns3="e422c799-4dbb-4704-9bc4-2b14a9e15e06" targetNamespace="http://schemas.microsoft.com/office/2006/metadata/properties" ma:root="true" ma:fieldsID="e76ffdf36258d13fdedd88a4e15d94a5" ns2:_="" ns3:_="">
    <xsd:import namespace="6cfad6c9-0d8a-4f08-b363-fe79249bc20d"/>
    <xsd:import namespace="e422c799-4dbb-4704-9bc4-2b14a9e15e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ad6c9-0d8a-4f08-b363-fe79249bc2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2c799-4dbb-4704-9bc4-2b14a9e15e0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ea22de-b79c-4d58-80b6-8c144d47058a}" ma:internalName="TaxCatchAll" ma:showField="CatchAllData" ma:web="e422c799-4dbb-4704-9bc4-2b14a9e15e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0BCEB2-3257-4C78-ABB2-E097914EAA71}">
  <ds:schemaRefs>
    <ds:schemaRef ds:uri="http://schemas.microsoft.com/sharepoint/v3/contenttype/forms"/>
  </ds:schemaRefs>
</ds:datastoreItem>
</file>

<file path=customXml/itemProps2.xml><?xml version="1.0" encoding="utf-8"?>
<ds:datastoreItem xmlns:ds="http://schemas.openxmlformats.org/officeDocument/2006/customXml" ds:itemID="{8B06B547-2F62-43C9-AED3-AE71429CA346}">
  <ds:schemaRefs>
    <ds:schemaRef ds:uri="http://schemas.microsoft.com/office/2006/metadata/properties"/>
    <ds:schemaRef ds:uri="http://schemas.microsoft.com/office/infopath/2007/PartnerControls"/>
    <ds:schemaRef ds:uri="6cfad6c9-0d8a-4f08-b363-fe79249bc20d"/>
    <ds:schemaRef ds:uri="e422c799-4dbb-4704-9bc4-2b14a9e15e06"/>
  </ds:schemaRefs>
</ds:datastoreItem>
</file>

<file path=customXml/itemProps3.xml><?xml version="1.0" encoding="utf-8"?>
<ds:datastoreItem xmlns:ds="http://schemas.openxmlformats.org/officeDocument/2006/customXml" ds:itemID="{ADB763CA-B44B-4A37-9EEE-264A89AD0F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ad6c9-0d8a-4f08-b363-fe79249bc20d"/>
    <ds:schemaRef ds:uri="e422c799-4dbb-4704-9bc4-2b14a9e15e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33</vt:i4>
      </vt:variant>
    </vt:vector>
  </HeadingPairs>
  <TitlesOfParts>
    <vt:vector size="46" baseType="lpstr">
      <vt:lpstr>README</vt:lpstr>
      <vt:lpstr>PitRawData</vt:lpstr>
      <vt:lpstr>All_AC</vt:lpstr>
      <vt:lpstr>All_CO</vt:lpstr>
      <vt:lpstr>All_AO</vt:lpstr>
      <vt:lpstr>All_TOTALS</vt:lpstr>
      <vt:lpstr>Youth_UY</vt:lpstr>
      <vt:lpstr>Youth_PY</vt:lpstr>
      <vt:lpstr>Vets_AC</vt:lpstr>
      <vt:lpstr>Vets_AO</vt:lpstr>
      <vt:lpstr>Vets_TOTALS</vt:lpstr>
      <vt:lpstr>Additional_Homeless_Populations</vt:lpstr>
      <vt:lpstr>DO_NOT_EDIT</vt:lpstr>
      <vt:lpstr>all_ref_fields_have_text</vt:lpstr>
      <vt:lpstr>All_ref_fields_not_errors</vt:lpstr>
      <vt:lpstr>CoC</vt:lpstr>
      <vt:lpstr>Date_of_Count</vt:lpstr>
      <vt:lpstr>HeadingLine2</vt:lpstr>
      <vt:lpstr>HeadingLine3</vt:lpstr>
      <vt:lpstr>HeadingLine4</vt:lpstr>
      <vt:lpstr>HudNum</vt:lpstr>
      <vt:lpstr>PIT_Count_Type</vt:lpstr>
      <vt:lpstr>Additional_Homeless_Populations!Print_Area</vt:lpstr>
      <vt:lpstr>All_AC!Print_Area</vt:lpstr>
      <vt:lpstr>All_AO!Print_Area</vt:lpstr>
      <vt:lpstr>All_CO!Print_Area</vt:lpstr>
      <vt:lpstr>All_TOTALS!Print_Area</vt:lpstr>
      <vt:lpstr>PitRawData!Print_Area</vt:lpstr>
      <vt:lpstr>README!Print_Area</vt:lpstr>
      <vt:lpstr>Vets_AC!Print_Area</vt:lpstr>
      <vt:lpstr>Vets_AO!Print_Area</vt:lpstr>
      <vt:lpstr>Vets_TOTALS!Print_Area</vt:lpstr>
      <vt:lpstr>Youth_PY!Print_Area</vt:lpstr>
      <vt:lpstr>Youth_UY!Print_Area</vt:lpstr>
      <vt:lpstr>Additional_Homeless_Populations!Print_Titles</vt:lpstr>
      <vt:lpstr>All_AC!Print_Titles</vt:lpstr>
      <vt:lpstr>All_AO!Print_Titles</vt:lpstr>
      <vt:lpstr>All_CO!Print_Titles</vt:lpstr>
      <vt:lpstr>All_TOTALS!Print_Titles</vt:lpstr>
      <vt:lpstr>Vets_AC!Print_Titles</vt:lpstr>
      <vt:lpstr>Vets_AO!Print_Titles</vt:lpstr>
      <vt:lpstr>Vets_TOTALS!Print_Titles</vt:lpstr>
      <vt:lpstr>Youth_PY!Print_Titles</vt:lpstr>
      <vt:lpstr>Youth_UY!Print_Titles</vt:lpstr>
      <vt:lpstr>show_heading_section</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Sean Morris</cp:lastModifiedBy>
  <cp:lastPrinted>2025-04-09T18:56:55Z</cp:lastPrinted>
  <dcterms:created xsi:type="dcterms:W3CDTF">2025-04-09T18:53:20Z</dcterms:created>
  <dcterms:modified xsi:type="dcterms:W3CDTF">2025-04-09T21:41:19Z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0x010100F5FD19B331B6154F98DDF9D6E590EC91</vt:lpwstr>
  </property>
</Properties>
</file>